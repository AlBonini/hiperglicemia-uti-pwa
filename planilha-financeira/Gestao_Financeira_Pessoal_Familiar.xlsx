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Transações" sheetId="2" state="visible" r:id="rId4"/>
    <sheet name="Orçamento Mensal" sheetId="3" state="visible" r:id="rId5"/>
    <sheet name="Fluxo Anual" sheetId="4" state="visible" r:id="rId6"/>
    <sheet name="Metas" sheetId="5" state="visible" r:id="rId7"/>
    <sheet name="Cartão de Crédito" sheetId="6" state="visible" r:id="rId8"/>
    <sheet name="Listas" sheetId="7" state="hidden" r:id="rId9"/>
  </sheets>
  <definedNames>
    <definedName function="false" hidden="false" name="Lista_CatDespesa" vbProcedure="false">Listas!$C$2:$C$17</definedName>
    <definedName function="false" hidden="false" name="Lista_CatReceita" vbProcedure="false">Listas!$B$2:$B$8</definedName>
    <definedName function="false" hidden="false" name="Lista_FormaPgto" vbProcedure="false">Listas!$E$2:$E$7</definedName>
    <definedName function="false" hidden="false" name="Lista_Meses" vbProcedure="false">Listas!$A$2:$A$13</definedName>
    <definedName function="false" hidden="false" name="Lista_Status" vbProcedure="false">Listas!$F$2:$F$4</definedName>
    <definedName function="false" hidden="false" name="Lista_Tipo" vbProcedure="false">Listas!$D$2:$D$3</definedName>
    <definedName function="false" hidden="false" name="Lista_TodasCategorias" vbProcedure="false">Listas!$G$2:$G$24</definedName>
    <definedName function="false" hidden="false" name="Tabela_Transacoes" vbProcedure="false">Transações!$A$4:$J$400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<sst xmlns="http://schemas.openxmlformats.org/spreadsheetml/2006/main" count="235" uniqueCount="111">
  <si>
    <t xml:space="preserve">RESUMO FINANCEIRO - Visão Geral</t>
  </si>
  <si>
    <t xml:space="preserve">Mês de referência:</t>
  </si>
  <si>
    <t xml:space="preserve">Janeiro</t>
  </si>
  <si>
    <t xml:space="preserve">Total de Receitas (mês)</t>
  </si>
  <si>
    <t xml:space="preserve">Total de Despesas (mês)</t>
  </si>
  <si>
    <t xml:space="preserve">Saldo do Mês</t>
  </si>
  <si>
    <t xml:space="preserve">Saldo Acumulado (total)</t>
  </si>
  <si>
    <t xml:space="preserve">Despesas por Categoria (mês selecionado)</t>
  </si>
  <si>
    <t xml:space="preserve">Receitas por Categoria (mês selecionado)</t>
  </si>
  <si>
    <t xml:space="preserve">Categoria</t>
  </si>
  <si>
    <t xml:space="preserve">Valor</t>
  </si>
  <si>
    <t xml:space="preserve">Moradia (aluguel/condomínio)</t>
  </si>
  <si>
    <t xml:space="preserve">Salário</t>
  </si>
  <si>
    <t xml:space="preserve">Contas (água/luz/gás/internet)</t>
  </si>
  <si>
    <t xml:space="preserve">Freelance/Extra</t>
  </si>
  <si>
    <t xml:space="preserve">Alimentação/Mercado</t>
  </si>
  <si>
    <t xml:space="preserve">Rendimentos/Investimentos</t>
  </si>
  <si>
    <t xml:space="preserve">Transporte/Combustível</t>
  </si>
  <si>
    <t xml:space="preserve">Aluguel Recebido</t>
  </si>
  <si>
    <t xml:space="preserve">Saúde/Plano de Saúde</t>
  </si>
  <si>
    <t xml:space="preserve">Reembolso</t>
  </si>
  <si>
    <t xml:space="preserve">Educação</t>
  </si>
  <si>
    <t xml:space="preserve">Décimo Terceiro/Férias</t>
  </si>
  <si>
    <t xml:space="preserve">Lazer/Assinaturas</t>
  </si>
  <si>
    <t xml:space="preserve">Outras Receitas</t>
  </si>
  <si>
    <t xml:space="preserve">Vestuário</t>
  </si>
  <si>
    <t xml:space="preserve">Total</t>
  </si>
  <si>
    <t xml:space="preserve">Cuidados Pessoais</t>
  </si>
  <si>
    <t xml:space="preserve">Cartão de Crédito</t>
  </si>
  <si>
    <t xml:space="preserve">Dívidas/Empréstimos</t>
  </si>
  <si>
    <t xml:space="preserve">Impostos/Taxas</t>
  </si>
  <si>
    <t xml:space="preserve">Doações</t>
  </si>
  <si>
    <t xml:space="preserve">Pets</t>
  </si>
  <si>
    <t xml:space="preserve">Investimentos/Poupança</t>
  </si>
  <si>
    <t xml:space="preserve">Outras Despesas</t>
  </si>
  <si>
    <t xml:space="preserve">TRANSAÇÕES - Lançamentos de Receitas e Despesas</t>
  </si>
  <si>
    <t xml:space="preserve">Legenda: preencha as colunas A a E, G e J (fundo amarelo = campo de entrada). As colunas Mês e Ano são calculadas automaticamente a partir da Data.</t>
  </si>
  <si>
    <t xml:space="preserve">Data</t>
  </si>
  <si>
    <t xml:space="preserve">Descrição</t>
  </si>
  <si>
    <t xml:space="preserve">Tipo</t>
  </si>
  <si>
    <t xml:space="preserve">Forma de Pagamento</t>
  </si>
  <si>
    <t xml:space="preserve">Status</t>
  </si>
  <si>
    <t xml:space="preserve">Mês</t>
  </si>
  <si>
    <t xml:space="preserve">Ano</t>
  </si>
  <si>
    <t xml:space="preserve">Observações</t>
  </si>
  <si>
    <t xml:space="preserve">Salário mensal</t>
  </si>
  <si>
    <t xml:space="preserve">Receita</t>
  </si>
  <si>
    <t xml:space="preserve">Transferência</t>
  </si>
  <si>
    <t xml:space="preserve">Pago</t>
  </si>
  <si>
    <t xml:space="preserve">Exemplo ilustrativo</t>
  </si>
  <si>
    <t xml:space="preserve">Supermercado do mês</t>
  </si>
  <si>
    <t xml:space="preserve">Despesa</t>
  </si>
  <si>
    <t xml:space="preserve">Débito</t>
  </si>
  <si>
    <t xml:space="preserve">Aluguel</t>
  </si>
  <si>
    <t xml:space="preserve">Boleto</t>
  </si>
  <si>
    <t xml:space="preserve">Conta de luz</t>
  </si>
  <si>
    <t xml:space="preserve">Pix</t>
  </si>
  <si>
    <t xml:space="preserve">ORÇAMENTO MENSAL - Planejado vs Realizado</t>
  </si>
  <si>
    <t xml:space="preserve">Legenda: preencha a coluna Orçado (fundo amarelo) com o valor planejado para cada categoria. Realizado é calculado automaticamente a partir da aba Transações.</t>
  </si>
  <si>
    <t xml:space="preserve">Orçado</t>
  </si>
  <si>
    <t xml:space="preserve">Realizado</t>
  </si>
  <si>
    <t xml:space="preserve">Diferença</t>
  </si>
  <si>
    <t xml:space="preserve">% Utilizado</t>
  </si>
  <si>
    <t xml:space="preserve">FLUXO DE CAIXA ANUAL - Receitas x Despesas por Mês</t>
  </si>
  <si>
    <t xml:space="preserve">Ano de referência:</t>
  </si>
  <si>
    <t xml:space="preserve">Item</t>
  </si>
  <si>
    <t xml:space="preserve">Fevereiro</t>
  </si>
  <si>
    <t xml:space="preserve">Março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</si>
  <si>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</si>
  <si>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</si>
  <si>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</si>
  <si>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</si>
  <si>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</si>
  <si>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</si>
  <si>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</si>
  <si>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</si>
  <si>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</si>
  <si>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 Ano</t>
  </si>
  <si>
    <t xml:space="preserve">Receitas Totais</t>
  </si>
  <si>
    <t xml:space="preserve">Despesas Totais</t>
  </si>
  <si>
    <t xml:space="preserve">Saldo Acumulado</t>
  </si>
  <si>
    <t xml:space="preserve">METAS FINANCEIRAS - Reserva de Emergência, Viagem, etc.</t>
  </si>
  <si>
    <t xml:space="preserve">Legenda: preencha Nome da Meta, Valor Objetivo, Valor Já Guardado e Prazo (fundo amarelo). Os demais campos são calculados automaticamente.</t>
  </si>
  <si>
    <t xml:space="preserve">Nome da Meta</t>
  </si>
  <si>
    <t xml:space="preserve">Valor Objetivo</t>
  </si>
  <si>
    <t xml:space="preserve">Valor Já Guardado</t>
  </si>
  <si>
    <t xml:space="preserve">Prazo</t>
  </si>
  <si>
    <t xml:space="preserve">Meses Restantes</t>
  </si>
  <si>
    <t xml:space="preserve">Valor Mensal Necessário</t>
  </si>
  <si>
    <t xml:space="preserve">% Concluído</t>
  </si>
  <si>
    <t xml:space="preserve">Reserva de Emergência</t>
  </si>
  <si>
    <t xml:space="preserve">CARTÃO DE CRÉDITO - Controle de Compras e Parcelas</t>
  </si>
  <si>
    <t xml:space="preserve">Legenda: preencha as colunas A a G (fundo amarelo = campo de entrada). Valor da Parcela e Mês Final são calculados automaticamente.</t>
  </si>
  <si>
    <t xml:space="preserve">Cartão</t>
  </si>
  <si>
    <t xml:space="preserve">Descrição da Compra</t>
  </si>
  <si>
    <t xml:space="preserve">Data da Compra</t>
  </si>
  <si>
    <t xml:space="preserve">Valor Total</t>
  </si>
  <si>
    <t xml:space="preserve">Parcelas</t>
  </si>
  <si>
    <t xml:space="preserve">Valor da Parcela</t>
  </si>
  <si>
    <t xml:space="preserve">Mês da 1ª Fatura</t>
  </si>
  <si>
    <t xml:space="preserve">Cartão Principal</t>
  </si>
  <si>
    <t xml:space="preserve">Compra de eletrodoméstico</t>
  </si>
  <si>
    <t xml:space="preserve">Pendente</t>
  </si>
  <si>
    <t xml:space="preserve">Meses</t>
  </si>
  <si>
    <t xml:space="preserve">Categorias Receita</t>
  </si>
  <si>
    <t xml:space="preserve">Categorias Despesa</t>
  </si>
  <si>
    <t xml:space="preserve">Forma Pagamento</t>
  </si>
  <si>
    <t xml:space="preserve">Todas Categorias</t>
  </si>
  <si>
    <t xml:space="preserve">Dinheiro</t>
  </si>
  <si>
    <t xml:space="preserve">Crédito</t>
  </si>
  <si>
    <t xml:space="preserve">Agendado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</si>
</sst>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&quot;R$ &quot;#,##0.00;[RED]&quot;-R$ &quot;#,##0.00;\-"/>
    <numFmt numFmtId="166" formatCode="dd/mm/yyyy"/>
    <numFmt numFmtId="167" formatCode="0.0%;[RED]\-0.0%;\-"/>
    <numFmt numFmtId="168" formatCode="0"/>
    <numFmt numFmtId="169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BDD7EE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CC0000"/>
      </font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3"/>
    <col collapsed="false" customWidth="true" hidden="false" outlineLevel="0" max="4" min="4" style="0" width="34"/>
    <col collapsed="false" customWidth="true" hidden="false" outlineLevel="0" max="5" min="5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</row>
    <row r="3" customFormat="false" ht="15" hidden="false" customHeight="false" outlineLevel="0" collapsed="false">
      <c r="A3" s="2" t="s">
        <v>1</v>
      </c>
      <c r="B3" s="3" t="s">
        <v>2</v>
      </c>
    </row>
    <row r="5" customFormat="false" ht="15" hidden="false" customHeight="false" outlineLevel="0" collapsed="false">
      <c r="A5" s="4" t="s">
        <v>3</v>
      </c>
      <c r="B5" s="5" t="n">
        <f aca="false">SUMIFS(Transações!$F$4:$F$400,Transações!$D$4:$D$400,"Receita",Transações!$H$4:$H$400,$B$3)</f>
        <v>6500</v>
      </c>
    </row>
    <row r="6" customFormat="false" ht="15" hidden="false" customHeight="false" outlineLevel="0" collapsed="false">
      <c r="A6" s="4" t="s">
        <v>4</v>
      </c>
      <c r="B6" s="5" t="n">
        <f aca="false">SUMIFS(Transações!$F$4:$F$400,Transações!$D$4:$D$400,"Despesa",Transações!$H$4:$H$400,$B$3)</f>
        <v>2870.3</v>
      </c>
    </row>
    <row r="7" customFormat="false" ht="15" hidden="false" customHeight="false" outlineLevel="0" collapsed="false">
      <c r="A7" s="4" t="s">
        <v>5</v>
      </c>
      <c r="B7" s="5" t="n">
        <f aca="false">B5-B6</f>
        <v>3629.7</v>
      </c>
    </row>
    <row r="8" customFormat="false" ht="15" hidden="false" customHeight="false" outlineLevel="0" collapsed="false">
      <c r="A8" s="4" t="s">
        <v>6</v>
      </c>
      <c r="B8" s="5" t="n">
        <f aca="false">SUMIFS(Transações!$F$4:$F$400,Transações!$D$4:$D$400,"Receita")-SUMIFS(Transações!$F$4:$F$400,Transações!$D$4:$D$400,"Despesa")</f>
        <v>3629.7</v>
      </c>
    </row>
    <row r="10" customFormat="false" ht="19.5" hidden="false" customHeight="true" outlineLevel="0" collapsed="false">
      <c r="A10" s="6" t="s">
        <v>7</v>
      </c>
      <c r="B10" s="6"/>
      <c r="D10" s="6" t="s">
        <v>8</v>
      </c>
      <c r="E10" s="6"/>
    </row>
    <row r="11" customFormat="false" ht="15" hidden="false" customHeight="false" outlineLevel="0" collapsed="false">
      <c r="A11" s="7" t="s">
        <v>9</v>
      </c>
      <c r="B11" s="7" t="s">
        <v>10</v>
      </c>
      <c r="D11" s="7" t="s">
        <v>9</v>
      </c>
      <c r="E11" s="7" t="s">
        <v>10</v>
      </c>
    </row>
    <row r="12" customFormat="false" ht="15" hidden="false" customHeight="false" outlineLevel="0" collapsed="false">
      <c r="A12" s="8" t="s">
        <v>11</v>
      </c>
      <c r="B12" s="9" t="n">
        <f aca="false">SUMIFS(Transações!$F$4:$F$400,Transações!$D$4:$D$400,"Despesa",Transações!$C$4:$C$400,$A12,Transações!$H$4:$H$400,$B$3)</f>
        <v>1800</v>
      </c>
      <c r="D12" s="8" t="s">
        <v>12</v>
      </c>
      <c r="E12" s="9" t="n">
        <f aca="false">SUMIFS(Transações!$F$4:$F$400,Transações!$D$4:$D$400,"Receita",Transações!$C$4:$C$400,$D12,Transações!$H$4:$H$400,$B$3)</f>
        <v>6500</v>
      </c>
    </row>
    <row r="13" customFormat="false" ht="15" hidden="false" customHeight="false" outlineLevel="0" collapsed="false">
      <c r="A13" s="8" t="s">
        <v>13</v>
      </c>
      <c r="B13" s="9" t="n">
        <f aca="false">SUMIFS(Transações!$F$4:$F$400,Transações!$D$4:$D$400,"Despesa",Transações!$C$4:$C$400,$A13,Transações!$H$4:$H$400,$B$3)</f>
        <v>220</v>
      </c>
      <c r="D13" s="8" t="s">
        <v>14</v>
      </c>
      <c r="E13" s="9" t="n">
        <f aca="false">SUMIFS(Transações!$F$4:$F$400,Transações!$D$4:$D$400,"Receita",Transações!$C$4:$C$400,$D13,Transações!$H$4:$H$400,$B$3)</f>
        <v>0</v>
      </c>
    </row>
    <row r="14" customFormat="false" ht="15" hidden="false" customHeight="false" outlineLevel="0" collapsed="false">
      <c r="A14" s="8" t="s">
        <v>15</v>
      </c>
      <c r="B14" s="9" t="n">
        <f aca="false">SUMIFS(Transações!$F$4:$F$400,Transações!$D$4:$D$400,"Despesa",Transações!$C$4:$C$400,$A14,Transações!$H$4:$H$400,$B$3)</f>
        <v>850.3</v>
      </c>
      <c r="D14" s="8" t="s">
        <v>16</v>
      </c>
      <c r="E14" s="9" t="n">
        <f aca="false">SUMIFS(Transações!$F$4:$F$400,Transações!$D$4:$D$400,"Receita",Transações!$C$4:$C$400,$D14,Transações!$H$4:$H$400,$B$3)</f>
        <v>0</v>
      </c>
    </row>
    <row r="15" customFormat="false" ht="15" hidden="false" customHeight="false" outlineLevel="0" collapsed="false">
      <c r="A15" s="8" t="s">
        <v>17</v>
      </c>
      <c r="B15" s="9" t="n">
        <f aca="false">SUMIFS(Transações!$F$4:$F$400,Transações!$D$4:$D$400,"Despesa",Transações!$C$4:$C$400,$A15,Transações!$H$4:$H$400,$B$3)</f>
        <v>0</v>
      </c>
      <c r="D15" s="8" t="s">
        <v>18</v>
      </c>
      <c r="E15" s="9" t="n">
        <f aca="false">SUMIFS(Transações!$F$4:$F$400,Transações!$D$4:$D$400,"Receita",Transações!$C$4:$C$400,$D15,Transações!$H$4:$H$400,$B$3)</f>
        <v>0</v>
      </c>
    </row>
    <row r="16" customFormat="false" ht="15" hidden="false" customHeight="false" outlineLevel="0" collapsed="false">
      <c r="A16" s="8" t="s">
        <v>19</v>
      </c>
      <c r="B16" s="9" t="n">
        <f aca="false">SUMIFS(Transações!$F$4:$F$400,Transações!$D$4:$D$400,"Despesa",Transações!$C$4:$C$400,$A16,Transações!$H$4:$H$400,$B$3)</f>
        <v>0</v>
      </c>
      <c r="D16" s="8" t="s">
        <v>20</v>
      </c>
      <c r="E16" s="9" t="n">
        <f aca="false">SUMIFS(Transações!$F$4:$F$400,Transações!$D$4:$D$400,"Receita",Transações!$C$4:$C$400,$D16,Transações!$H$4:$H$400,$B$3)</f>
        <v>0</v>
      </c>
    </row>
    <row r="17" customFormat="false" ht="15" hidden="false" customHeight="false" outlineLevel="0" collapsed="false">
      <c r="A17" s="8" t="s">
        <v>21</v>
      </c>
      <c r="B17" s="9" t="n">
        <f aca="false">SUMIFS(Transações!$F$4:$F$400,Transações!$D$4:$D$400,"Despesa",Transações!$C$4:$C$400,$A17,Transações!$H$4:$H$400,$B$3)</f>
        <v>0</v>
      </c>
      <c r="D17" s="8" t="s">
        <v>22</v>
      </c>
      <c r="E17" s="9" t="n">
        <f aca="false">SUMIFS(Transações!$F$4:$F$400,Transações!$D$4:$D$400,"Receita",Transações!$C$4:$C$400,$D17,Transações!$H$4:$H$400,$B$3)</f>
        <v>0</v>
      </c>
    </row>
    <row r="18" customFormat="false" ht="15" hidden="false" customHeight="false" outlineLevel="0" collapsed="false">
      <c r="A18" s="8" t="s">
        <v>23</v>
      </c>
      <c r="B18" s="9" t="n">
        <f aca="false">SUMIFS(Transações!$F$4:$F$400,Transações!$D$4:$D$400,"Despesa",Transações!$C$4:$C$400,$A18,Transações!$H$4:$H$400,$B$3)</f>
        <v>0</v>
      </c>
      <c r="D18" s="8" t="s">
        <v>24</v>
      </c>
      <c r="E18" s="9" t="n">
        <f aca="false">SUMIFS(Transações!$F$4:$F$400,Transações!$D$4:$D$400,"Receita",Transações!$C$4:$C$400,$D18,Transações!$H$4:$H$400,$B$3)</f>
        <v>0</v>
      </c>
    </row>
    <row r="19" customFormat="false" ht="15" hidden="false" customHeight="false" outlineLevel="0" collapsed="false">
      <c r="A19" s="8" t="s">
        <v>25</v>
      </c>
      <c r="B19" s="9" t="n">
        <f aca="false">SUMIFS(Transações!$F$4:$F$400,Transações!$D$4:$D$400,"Despesa",Transações!$C$4:$C$400,$A19,Transações!$H$4:$H$400,$B$3)</f>
        <v>0</v>
      </c>
      <c r="D19" s="10" t="s">
        <v>26</v>
      </c>
      <c r="E19" s="11" t="n">
        <f aca="false">SUM(E12:E18)</f>
        <v>6500</v>
      </c>
    </row>
    <row r="20" customFormat="false" ht="15" hidden="false" customHeight="false" outlineLevel="0" collapsed="false">
      <c r="A20" s="8" t="s">
        <v>27</v>
      </c>
      <c r="B20" s="9" t="n">
        <f aca="false">SUMIFS(Transações!$F$4:$F$400,Transações!$D$4:$D$400,"Despesa",Transações!$C$4:$C$400,$A20,Transações!$H$4:$H$400,$B$3)</f>
        <v>0</v>
      </c>
    </row>
    <row r="21" customFormat="false" ht="15" hidden="false" customHeight="false" outlineLevel="0" collapsed="false">
      <c r="A21" s="8" t="s">
        <v>28</v>
      </c>
      <c r="B21" s="9" t="n">
        <f aca="false">SUMIFS(Transações!$F$4:$F$400,Transações!$D$4:$D$400,"Despesa",Transações!$C$4:$C$400,$A21,Transações!$H$4:$H$400,$B$3)</f>
        <v>0</v>
      </c>
    </row>
    <row r="22" customFormat="false" ht="15" hidden="false" customHeight="false" outlineLevel="0" collapsed="false">
      <c r="A22" s="8" t="s">
        <v>29</v>
      </c>
      <c r="B22" s="9" t="n">
        <f aca="false">SUMIFS(Transações!$F$4:$F$400,Transações!$D$4:$D$400,"Despesa",Transações!$C$4:$C$400,$A22,Transações!$H$4:$H$400,$B$3)</f>
        <v>0</v>
      </c>
    </row>
    <row r="23" customFormat="false" ht="15" hidden="false" customHeight="false" outlineLevel="0" collapsed="false">
      <c r="A23" s="8" t="s">
        <v>30</v>
      </c>
      <c r="B23" s="9" t="n">
        <f aca="false">SUMIFS(Transações!$F$4:$F$400,Transações!$D$4:$D$400,"Despesa",Transações!$C$4:$C$400,$A23,Transações!$H$4:$H$400,$B$3)</f>
        <v>0</v>
      </c>
    </row>
    <row r="24" customFormat="false" ht="15" hidden="false" customHeight="false" outlineLevel="0" collapsed="false">
      <c r="A24" s="8" t="s">
        <v>31</v>
      </c>
      <c r="B24" s="9" t="n">
        <f aca="false">SUMIFS(Transações!$F$4:$F$400,Transações!$D$4:$D$400,"Despesa",Transações!$C$4:$C$400,$A24,Transações!$H$4:$H$400,$B$3)</f>
        <v>0</v>
      </c>
    </row>
    <row r="25" customFormat="false" ht="15" hidden="false" customHeight="false" outlineLevel="0" collapsed="false">
      <c r="A25" s="8" t="s">
        <v>32</v>
      </c>
      <c r="B25" s="9" t="n">
        <f aca="false">SUMIFS(Transações!$F$4:$F$400,Transações!$D$4:$D$400,"Despesa",Transações!$C$4:$C$400,$A25,Transações!$H$4:$H$400,$B$3)</f>
        <v>0</v>
      </c>
    </row>
    <row r="26" customFormat="false" ht="15" hidden="false" customHeight="false" outlineLevel="0" collapsed="false">
      <c r="A26" s="8" t="s">
        <v>33</v>
      </c>
      <c r="B26" s="9" t="n">
        <f aca="false">SUMIFS(Transações!$F$4:$F$400,Transações!$D$4:$D$400,"Despesa",Transações!$C$4:$C$400,$A26,Transações!$H$4:$H$400,$B$3)</f>
        <v>0</v>
      </c>
    </row>
    <row r="27" customFormat="false" ht="15" hidden="false" customHeight="false" outlineLevel="0" collapsed="false">
      <c r="A27" s="8" t="s">
        <v>34</v>
      </c>
      <c r="B27" s="9" t="n">
        <f aca="false">SUMIFS(Transações!$F$4:$F$400,Transações!$D$4:$D$400,"Despesa",Transações!$C$4:$C$400,$A27,Transações!$H$4:$H$400,$B$3)</f>
        <v>0</v>
      </c>
    </row>
    <row r="28" customFormat="false" ht="15" hidden="false" customHeight="false" outlineLevel="0" collapsed="false">
      <c r="A28" s="10" t="s">
        <v>26</v>
      </c>
      <c r="B28" s="11" t="n">
        <f aca="false">SUM(B12:B27)</f>
        <v>2870.3</v>
      </c>
    </row>
  </sheetData>
  <mergeCells count="3">
    <mergeCell ref="A1:E1"/>
    <mergeCell ref="A10:B10"/>
    <mergeCell ref="D10:E10"/>
  </mergeCells>
  <conditionalFormatting sqref="B7">
    <cfRule type="cellIs" priority="2" operator="lessThan" aboveAverage="0" equalAverage="0" bottom="0" percent="0" rank="0" text="" dxfId="0">
      <formula>0</formula>
    </cfRule>
  </conditionalFormatting>
  <conditionalFormatting sqref="B8">
    <cfRule type="cellIs" priority="3" operator="lessThan" aboveAverage="0" equalAverage="0" bottom="0" percent="0" rank="0" text="" dxfId="0">
      <formula>0</formula>
    </cfRule>
  </conditionalFormatting>
  <dataValidations count="1">
    <dataValidation allowBlank="false" errorStyle="stop" operator="between" showDropDown="false" showErrorMessage="false" showInputMessage="false" sqref="B3" type="list">
      <formula1>Lista_Meses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26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9"/>
    <col collapsed="false" customWidth="true" hidden="false" outlineLevel="0" max="10" min="10" style="0" width="30"/>
  </cols>
  <sheetData>
    <row r="1" customFormat="false" ht="27.75" hidden="false" customHeight="true" outlineLevel="0" collapsed="false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7.75" hidden="false" customHeight="true" outlineLevel="0" collapsed="false">
      <c r="A2" s="12" t="s">
        <v>36</v>
      </c>
      <c r="B2" s="12"/>
      <c r="C2" s="12"/>
      <c r="D2" s="12"/>
      <c r="E2" s="12"/>
      <c r="F2" s="12"/>
      <c r="G2" s="12"/>
      <c r="H2" s="12"/>
      <c r="I2" s="12"/>
      <c r="J2" s="12"/>
    </row>
    <row r="3" customFormat="false" ht="21.75" hidden="false" customHeight="true" outlineLevel="0" collapsed="false">
      <c r="A3" s="13" t="s">
        <v>37</v>
      </c>
      <c r="B3" s="13" t="s">
        <v>38</v>
      </c>
      <c r="C3" s="13" t="s">
        <v>9</v>
      </c>
      <c r="D3" s="13" t="s">
        <v>39</v>
      </c>
      <c r="E3" s="13" t="s">
        <v>40</v>
      </c>
      <c r="F3" s="13" t="s">
        <v>10</v>
      </c>
      <c r="G3" s="13" t="s">
        <v>41</v>
      </c>
      <c r="H3" s="13" t="s">
        <v>42</v>
      </c>
      <c r="I3" s="13" t="s">
        <v>43</v>
      </c>
      <c r="J3" s="13" t="s">
        <v>44</v>
      </c>
    </row>
    <row r="4" customFormat="false" ht="15" hidden="false" customHeight="false" outlineLevel="0" collapsed="false">
      <c r="A4" s="14" t="n">
        <v>46027</v>
      </c>
      <c r="B4" s="8" t="s">
        <v>45</v>
      </c>
      <c r="C4" s="8" t="s">
        <v>12</v>
      </c>
      <c r="D4" s="8" t="s">
        <v>46</v>
      </c>
      <c r="E4" s="8" t="s">
        <v>47</v>
      </c>
      <c r="F4" s="9" t="n">
        <v>6500</v>
      </c>
      <c r="G4" s="8" t="s">
        <v>48</v>
      </c>
      <c r="H4" s="8" t="str">
        <f aca="false">IF(A4="","",INDEX(Lista_Meses,MONTH(A4)))</f>
        <v>Janeiro</v>
      </c>
      <c r="I4" s="8" t="n">
        <f aca="false">IF(A4="","",YEAR(A4))</f>
        <v>2026</v>
      </c>
      <c r="J4" s="8" t="s">
        <v>49</v>
      </c>
    </row>
    <row r="5" customFormat="false" ht="15" hidden="false" customHeight="false" outlineLevel="0" collapsed="false">
      <c r="A5" s="14" t="n">
        <v>46029</v>
      </c>
      <c r="B5" s="8" t="s">
        <v>50</v>
      </c>
      <c r="C5" s="8" t="s">
        <v>15</v>
      </c>
      <c r="D5" s="8" t="s">
        <v>51</v>
      </c>
      <c r="E5" s="8" t="s">
        <v>52</v>
      </c>
      <c r="F5" s="9" t="n">
        <v>850.3</v>
      </c>
      <c r="G5" s="8" t="s">
        <v>48</v>
      </c>
      <c r="H5" s="8" t="str">
        <f aca="false">IF(A5="","",INDEX(Lista_Meses,MONTH(A5)))</f>
        <v>Janeiro</v>
      </c>
      <c r="I5" s="8" t="n">
        <f aca="false">IF(A5="","",YEAR(A5))</f>
        <v>2026</v>
      </c>
      <c r="J5" s="8"/>
    </row>
    <row r="6" customFormat="false" ht="15" hidden="false" customHeight="false" outlineLevel="0" collapsed="false">
      <c r="A6" s="14" t="n">
        <v>46032</v>
      </c>
      <c r="B6" s="8" t="s">
        <v>53</v>
      </c>
      <c r="C6" s="8" t="s">
        <v>11</v>
      </c>
      <c r="D6" s="8" t="s">
        <v>51</v>
      </c>
      <c r="E6" s="8" t="s">
        <v>54</v>
      </c>
      <c r="F6" s="9" t="n">
        <v>1800</v>
      </c>
      <c r="G6" s="8" t="s">
        <v>48</v>
      </c>
      <c r="H6" s="8" t="str">
        <f aca="false">IF(A6="","",INDEX(Lista_Meses,MONTH(A6)))</f>
        <v>Janeiro</v>
      </c>
      <c r="I6" s="8" t="n">
        <f aca="false">IF(A6="","",YEAR(A6))</f>
        <v>2026</v>
      </c>
      <c r="J6" s="8"/>
    </row>
    <row r="7" customFormat="false" ht="15" hidden="false" customHeight="false" outlineLevel="0" collapsed="false">
      <c r="A7" s="14" t="n">
        <v>46037</v>
      </c>
      <c r="B7" s="8" t="s">
        <v>55</v>
      </c>
      <c r="C7" s="8" t="s">
        <v>13</v>
      </c>
      <c r="D7" s="8" t="s">
        <v>51</v>
      </c>
      <c r="E7" s="8" t="s">
        <v>56</v>
      </c>
      <c r="F7" s="9" t="n">
        <v>220</v>
      </c>
      <c r="G7" s="8" t="s">
        <v>48</v>
      </c>
      <c r="H7" s="8" t="str">
        <f aca="false">IF(A7="","",INDEX(Lista_Meses,MONTH(A7)))</f>
        <v>Janeiro</v>
      </c>
      <c r="I7" s="8" t="n">
        <f aca="false">IF(A7="","",YEAR(A7))</f>
        <v>2026</v>
      </c>
      <c r="J7" s="8"/>
    </row>
    <row r="8" customFormat="false" ht="15" hidden="false" customHeight="false" outlineLevel="0" collapsed="false">
      <c r="A8" s="15"/>
      <c r="B8" s="16"/>
      <c r="C8" s="16"/>
      <c r="D8" s="16"/>
      <c r="E8" s="16"/>
      <c r="F8" s="17"/>
      <c r="G8" s="16"/>
      <c r="H8" s="8" t="str">
        <f aca="false">IF(A8="","",INDEX(Lista_Meses,MONTH(A8)))</f>
        <v/>
      </c>
      <c r="I8" s="8" t="str">
        <f aca="false">IF(A8="","",YEAR(A8))</f>
        <v/>
      </c>
      <c r="J8" s="16"/>
    </row>
    <row r="9" customFormat="false" ht="15" hidden="false" customHeight="false" outlineLevel="0" collapsed="false">
      <c r="A9" s="15"/>
      <c r="B9" s="16"/>
      <c r="C9" s="16"/>
      <c r="D9" s="16"/>
      <c r="E9" s="16"/>
      <c r="F9" s="17"/>
      <c r="G9" s="16"/>
      <c r="H9" s="8" t="str">
        <f aca="false">IF(A9="","",INDEX(Lista_Meses,MONTH(A9)))</f>
        <v/>
      </c>
      <c r="I9" s="8" t="str">
        <f aca="false">IF(A9="","",YEAR(A9))</f>
        <v/>
      </c>
      <c r="J9" s="16"/>
    </row>
    <row r="10" customFormat="false" ht="15" hidden="false" customHeight="false" outlineLevel="0" collapsed="false">
      <c r="A10" s="15"/>
      <c r="B10" s="16"/>
      <c r="C10" s="16"/>
      <c r="D10" s="16"/>
      <c r="E10" s="16"/>
      <c r="F10" s="17"/>
      <c r="G10" s="16"/>
      <c r="H10" s="8" t="str">
        <f aca="false">IF(A10="","",INDEX(Lista_Meses,MONTH(A10)))</f>
        <v/>
      </c>
      <c r="I10" s="8" t="str">
        <f aca="false">IF(A10="","",YEAR(A10))</f>
        <v/>
      </c>
      <c r="J10" s="16"/>
    </row>
    <row r="11" customFormat="false" ht="15" hidden="false" customHeight="false" outlineLevel="0" collapsed="false">
      <c r="A11" s="15"/>
      <c r="B11" s="16"/>
      <c r="C11" s="16"/>
      <c r="D11" s="16"/>
      <c r="E11" s="16"/>
      <c r="F11" s="17"/>
      <c r="G11" s="16"/>
      <c r="H11" s="8" t="str">
        <f aca="false">IF(A11="","",INDEX(Lista_Meses,MONTH(A11)))</f>
        <v/>
      </c>
      <c r="I11" s="8" t="str">
        <f aca="false">IF(A11="","",YEAR(A11))</f>
        <v/>
      </c>
      <c r="J11" s="16"/>
    </row>
    <row r="12" customFormat="false" ht="15" hidden="false" customHeight="false" outlineLevel="0" collapsed="false">
      <c r="A12" s="15"/>
      <c r="B12" s="16"/>
      <c r="C12" s="16"/>
      <c r="D12" s="16"/>
      <c r="E12" s="16"/>
      <c r="F12" s="17"/>
      <c r="G12" s="16"/>
      <c r="H12" s="8" t="str">
        <f aca="false">IF(A12="","",INDEX(Lista_Meses,MONTH(A12)))</f>
        <v/>
      </c>
      <c r="I12" s="8" t="str">
        <f aca="false">IF(A12="","",YEAR(A12))</f>
        <v/>
      </c>
      <c r="J12" s="16"/>
    </row>
    <row r="13" customFormat="false" ht="15" hidden="false" customHeight="false" outlineLevel="0" collapsed="false">
      <c r="A13" s="15"/>
      <c r="B13" s="16"/>
      <c r="C13" s="16"/>
      <c r="D13" s="16"/>
      <c r="E13" s="16"/>
      <c r="F13" s="17"/>
      <c r="G13" s="16"/>
      <c r="H13" s="8" t="str">
        <f aca="false">IF(A13="","",INDEX(Lista_Meses,MONTH(A13)))</f>
        <v/>
      </c>
      <c r="I13" s="8" t="str">
        <f aca="false">IF(A13="","",YEAR(A13))</f>
        <v/>
      </c>
      <c r="J13" s="16"/>
    </row>
    <row r="14" customFormat="false" ht="15" hidden="false" customHeight="false" outlineLevel="0" collapsed="false">
      <c r="A14" s="15"/>
      <c r="B14" s="16"/>
      <c r="C14" s="16"/>
      <c r="D14" s="16"/>
      <c r="E14" s="16"/>
      <c r="F14" s="17"/>
      <c r="G14" s="16"/>
      <c r="H14" s="8" t="str">
        <f aca="false">IF(A14="","",INDEX(Lista_Meses,MONTH(A14)))</f>
        <v/>
      </c>
      <c r="I14" s="8" t="str">
        <f aca="false">IF(A14="","",YEAR(A14))</f>
        <v/>
      </c>
      <c r="J14" s="16"/>
    </row>
    <row r="15" customFormat="false" ht="15" hidden="false" customHeight="false" outlineLevel="0" collapsed="false">
      <c r="A15" s="15"/>
      <c r="B15" s="16"/>
      <c r="C15" s="16"/>
      <c r="D15" s="16"/>
      <c r="E15" s="16"/>
      <c r="F15" s="17"/>
      <c r="G15" s="16"/>
      <c r="H15" s="8" t="str">
        <f aca="false">IF(A15="","",INDEX(Lista_Meses,MONTH(A15)))</f>
        <v/>
      </c>
      <c r="I15" s="8" t="str">
        <f aca="false">IF(A15="","",YEAR(A15))</f>
        <v/>
      </c>
      <c r="J15" s="16"/>
    </row>
    <row r="16" customFormat="false" ht="15" hidden="false" customHeight="false" outlineLevel="0" collapsed="false">
      <c r="A16" s="15"/>
      <c r="B16" s="16"/>
      <c r="C16" s="16"/>
      <c r="D16" s="16"/>
      <c r="E16" s="16"/>
      <c r="F16" s="17"/>
      <c r="G16" s="16"/>
      <c r="H16" s="8" t="str">
        <f aca="false">IF(A16="","",INDEX(Lista_Meses,MONTH(A16)))</f>
        <v/>
      </c>
      <c r="I16" s="8" t="str">
        <f aca="false">IF(A16="","",YEAR(A16))</f>
        <v/>
      </c>
      <c r="J16" s="16"/>
    </row>
    <row r="17" customFormat="false" ht="15" hidden="false" customHeight="false" outlineLevel="0" collapsed="false">
      <c r="A17" s="15"/>
      <c r="B17" s="16"/>
      <c r="C17" s="16"/>
      <c r="D17" s="16"/>
      <c r="E17" s="16"/>
      <c r="F17" s="17"/>
      <c r="G17" s="16"/>
      <c r="H17" s="8" t="str">
        <f aca="false">IF(A17="","",INDEX(Lista_Meses,MONTH(A17)))</f>
        <v/>
      </c>
      <c r="I17" s="8" t="str">
        <f aca="false">IF(A17="","",YEAR(A17))</f>
        <v/>
      </c>
      <c r="J17" s="16"/>
    </row>
    <row r="18" customFormat="false" ht="15" hidden="false" customHeight="false" outlineLevel="0" collapsed="false">
      <c r="A18" s="15"/>
      <c r="B18" s="16"/>
      <c r="C18" s="16"/>
      <c r="D18" s="16"/>
      <c r="E18" s="16"/>
      <c r="F18" s="17"/>
      <c r="G18" s="16"/>
      <c r="H18" s="8" t="str">
        <f aca="false">IF(A18="","",INDEX(Lista_Meses,MONTH(A18)))</f>
        <v/>
      </c>
      <c r="I18" s="8" t="str">
        <f aca="false">IF(A18="","",YEAR(A18))</f>
        <v/>
      </c>
      <c r="J18" s="16"/>
    </row>
    <row r="19" customFormat="false" ht="15" hidden="false" customHeight="false" outlineLevel="0" collapsed="false">
      <c r="A19" s="15"/>
      <c r="B19" s="16"/>
      <c r="C19" s="16"/>
      <c r="D19" s="16"/>
      <c r="E19" s="16"/>
      <c r="F19" s="17"/>
      <c r="G19" s="16"/>
      <c r="H19" s="8" t="str">
        <f aca="false">IF(A19="","",INDEX(Lista_Meses,MONTH(A19)))</f>
        <v/>
      </c>
      <c r="I19" s="8" t="str">
        <f aca="false">IF(A19="","",YEAR(A19))</f>
        <v/>
      </c>
      <c r="J19" s="16"/>
    </row>
    <row r="20" customFormat="false" ht="15" hidden="false" customHeight="false" outlineLevel="0" collapsed="false">
      <c r="A20" s="15"/>
      <c r="B20" s="16"/>
      <c r="C20" s="16"/>
      <c r="D20" s="16"/>
      <c r="E20" s="16"/>
      <c r="F20" s="17"/>
      <c r="G20" s="16"/>
      <c r="H20" s="8" t="str">
        <f aca="false">IF(A20="","",INDEX(Lista_Meses,MONTH(A20)))</f>
        <v/>
      </c>
      <c r="I20" s="8" t="str">
        <f aca="false">IF(A20="","",YEAR(A20))</f>
        <v/>
      </c>
      <c r="J20" s="16"/>
    </row>
    <row r="21" customFormat="false" ht="15" hidden="false" customHeight="false" outlineLevel="0" collapsed="false">
      <c r="A21" s="15"/>
      <c r="B21" s="16"/>
      <c r="C21" s="16"/>
      <c r="D21" s="16"/>
      <c r="E21" s="16"/>
      <c r="F21" s="17"/>
      <c r="G21" s="16"/>
      <c r="H21" s="8" t="str">
        <f aca="false">IF(A21="","",INDEX(Lista_Meses,MONTH(A21)))</f>
        <v/>
      </c>
      <c r="I21" s="8" t="str">
        <f aca="false">IF(A21="","",YEAR(A21))</f>
        <v/>
      </c>
      <c r="J21" s="16"/>
    </row>
    <row r="22" customFormat="false" ht="15" hidden="false" customHeight="false" outlineLevel="0" collapsed="false">
      <c r="A22" s="15"/>
      <c r="B22" s="16"/>
      <c r="C22" s="16"/>
      <c r="D22" s="16"/>
      <c r="E22" s="16"/>
      <c r="F22" s="17"/>
      <c r="G22" s="16"/>
      <c r="H22" s="8" t="str">
        <f aca="false">IF(A22="","",INDEX(Lista_Meses,MONTH(A22)))</f>
        <v/>
      </c>
      <c r="I22" s="8" t="str">
        <f aca="false">IF(A22="","",YEAR(A22))</f>
        <v/>
      </c>
      <c r="J22" s="16"/>
    </row>
    <row r="23" customFormat="false" ht="15" hidden="false" customHeight="false" outlineLevel="0" collapsed="false">
      <c r="A23" s="15"/>
      <c r="B23" s="16"/>
      <c r="C23" s="16"/>
      <c r="D23" s="16"/>
      <c r="E23" s="16"/>
      <c r="F23" s="17"/>
      <c r="G23" s="16"/>
      <c r="H23" s="8" t="str">
        <f aca="false">IF(A23="","",INDEX(Lista_Meses,MONTH(A23)))</f>
        <v/>
      </c>
      <c r="I23" s="8" t="str">
        <f aca="false">IF(A23="","",YEAR(A23))</f>
        <v/>
      </c>
      <c r="J23" s="16"/>
    </row>
    <row r="24" customFormat="false" ht="15" hidden="false" customHeight="false" outlineLevel="0" collapsed="false">
      <c r="A24" s="15"/>
      <c r="B24" s="16"/>
      <c r="C24" s="16"/>
      <c r="D24" s="16"/>
      <c r="E24" s="16"/>
      <c r="F24" s="17"/>
      <c r="G24" s="16"/>
      <c r="H24" s="8" t="str">
        <f aca="false">IF(A24="","",INDEX(Lista_Meses,MONTH(A24)))</f>
        <v/>
      </c>
      <c r="I24" s="8" t="str">
        <f aca="false">IF(A24="","",YEAR(A24))</f>
        <v/>
      </c>
      <c r="J24" s="16"/>
    </row>
    <row r="25" customFormat="false" ht="15" hidden="false" customHeight="false" outlineLevel="0" collapsed="false">
      <c r="A25" s="15"/>
      <c r="B25" s="16"/>
      <c r="C25" s="16"/>
      <c r="D25" s="16"/>
      <c r="E25" s="16"/>
      <c r="F25" s="17"/>
      <c r="G25" s="16"/>
      <c r="H25" s="8" t="str">
        <f aca="false">IF(A25="","",INDEX(Lista_Meses,MONTH(A25)))</f>
        <v/>
      </c>
      <c r="I25" s="8" t="str">
        <f aca="false">IF(A25="","",YEAR(A25))</f>
        <v/>
      </c>
      <c r="J25" s="16"/>
    </row>
    <row r="26" customFormat="false" ht="15" hidden="false" customHeight="false" outlineLevel="0" collapsed="false">
      <c r="A26" s="15"/>
      <c r="B26" s="16"/>
      <c r="C26" s="16"/>
      <c r="D26" s="16"/>
      <c r="E26" s="16"/>
      <c r="F26" s="17"/>
      <c r="G26" s="16"/>
      <c r="H26" s="8" t="str">
        <f aca="false">IF(A26="","",INDEX(Lista_Meses,MONTH(A26)))</f>
        <v/>
      </c>
      <c r="I26" s="8" t="str">
        <f aca="false">IF(A26="","",YEAR(A26))</f>
        <v/>
      </c>
      <c r="J26" s="16"/>
    </row>
    <row r="27" customFormat="false" ht="15" hidden="false" customHeight="false" outlineLevel="0" collapsed="false">
      <c r="A27" s="15"/>
      <c r="B27" s="16"/>
      <c r="C27" s="16"/>
      <c r="D27" s="16"/>
      <c r="E27" s="16"/>
      <c r="F27" s="17"/>
      <c r="G27" s="16"/>
      <c r="H27" s="8" t="str">
        <f aca="false">IF(A27="","",INDEX(Lista_Meses,MONTH(A27)))</f>
        <v/>
      </c>
      <c r="I27" s="8" t="str">
        <f aca="false">IF(A27="","",YEAR(A27))</f>
        <v/>
      </c>
      <c r="J27" s="16"/>
    </row>
    <row r="28" customFormat="false" ht="15" hidden="false" customHeight="false" outlineLevel="0" collapsed="false">
      <c r="A28" s="15"/>
      <c r="B28" s="16"/>
      <c r="C28" s="16"/>
      <c r="D28" s="16"/>
      <c r="E28" s="16"/>
      <c r="F28" s="17"/>
      <c r="G28" s="16"/>
      <c r="H28" s="8" t="str">
        <f aca="false">IF(A28="","",INDEX(Lista_Meses,MONTH(A28)))</f>
        <v/>
      </c>
      <c r="I28" s="8" t="str">
        <f aca="false">IF(A28="","",YEAR(A28))</f>
        <v/>
      </c>
      <c r="J28" s="16"/>
    </row>
    <row r="29" customFormat="false" ht="15" hidden="false" customHeight="false" outlineLevel="0" collapsed="false">
      <c r="A29" s="15"/>
      <c r="B29" s="16"/>
      <c r="C29" s="16"/>
      <c r="D29" s="16"/>
      <c r="E29" s="16"/>
      <c r="F29" s="17"/>
      <c r="G29" s="16"/>
      <c r="H29" s="8" t="str">
        <f aca="false">IF(A29="","",INDEX(Lista_Meses,MONTH(A29)))</f>
        <v/>
      </c>
      <c r="I29" s="8" t="str">
        <f aca="false">IF(A29="","",YEAR(A29))</f>
        <v/>
      </c>
      <c r="J29" s="16"/>
    </row>
    <row r="30" customFormat="false" ht="15" hidden="false" customHeight="false" outlineLevel="0" collapsed="false">
      <c r="A30" s="15"/>
      <c r="B30" s="16"/>
      <c r="C30" s="16"/>
      <c r="D30" s="16"/>
      <c r="E30" s="16"/>
      <c r="F30" s="17"/>
      <c r="G30" s="16"/>
      <c r="H30" s="8" t="str">
        <f aca="false">IF(A30="","",INDEX(Lista_Meses,MONTH(A30)))</f>
        <v/>
      </c>
      <c r="I30" s="8" t="str">
        <f aca="false">IF(A30="","",YEAR(A30))</f>
        <v/>
      </c>
      <c r="J30" s="16"/>
    </row>
    <row r="31" customFormat="false" ht="15" hidden="false" customHeight="false" outlineLevel="0" collapsed="false">
      <c r="A31" s="15"/>
      <c r="B31" s="16"/>
      <c r="C31" s="16"/>
      <c r="D31" s="16"/>
      <c r="E31" s="16"/>
      <c r="F31" s="17"/>
      <c r="G31" s="16"/>
      <c r="H31" s="8" t="str">
        <f aca="false">IF(A31="","",INDEX(Lista_Meses,MONTH(A31)))</f>
        <v/>
      </c>
      <c r="I31" s="8" t="str">
        <f aca="false">IF(A31="","",YEAR(A31))</f>
        <v/>
      </c>
      <c r="J31" s="16"/>
    </row>
    <row r="32" customFormat="false" ht="15" hidden="false" customHeight="false" outlineLevel="0" collapsed="false">
      <c r="A32" s="15"/>
      <c r="B32" s="16"/>
      <c r="C32" s="16"/>
      <c r="D32" s="16"/>
      <c r="E32" s="16"/>
      <c r="F32" s="17"/>
      <c r="G32" s="16"/>
      <c r="H32" s="8" t="str">
        <f aca="false">IF(A32="","",INDEX(Lista_Meses,MONTH(A32)))</f>
        <v/>
      </c>
      <c r="I32" s="8" t="str">
        <f aca="false">IF(A32="","",YEAR(A32))</f>
        <v/>
      </c>
      <c r="J32" s="16"/>
    </row>
    <row r="33" customFormat="false" ht="15" hidden="false" customHeight="false" outlineLevel="0" collapsed="false">
      <c r="A33" s="15"/>
      <c r="B33" s="16"/>
      <c r="C33" s="16"/>
      <c r="D33" s="16"/>
      <c r="E33" s="16"/>
      <c r="F33" s="17"/>
      <c r="G33" s="16"/>
      <c r="H33" s="8" t="str">
        <f aca="false">IF(A33="","",INDEX(Lista_Meses,MONTH(A33)))</f>
        <v/>
      </c>
      <c r="I33" s="8" t="str">
        <f aca="false">IF(A33="","",YEAR(A33))</f>
        <v/>
      </c>
      <c r="J33" s="16"/>
    </row>
    <row r="34" customFormat="false" ht="15" hidden="false" customHeight="false" outlineLevel="0" collapsed="false">
      <c r="A34" s="15"/>
      <c r="B34" s="16"/>
      <c r="C34" s="16"/>
      <c r="D34" s="16"/>
      <c r="E34" s="16"/>
      <c r="F34" s="17"/>
      <c r="G34" s="16"/>
      <c r="H34" s="8" t="str">
        <f aca="false">IF(A34="","",INDEX(Lista_Meses,MONTH(A34)))</f>
        <v/>
      </c>
      <c r="I34" s="8" t="str">
        <f aca="false">IF(A34="","",YEAR(A34))</f>
        <v/>
      </c>
      <c r="J34" s="16"/>
    </row>
    <row r="35" customFormat="false" ht="15" hidden="false" customHeight="false" outlineLevel="0" collapsed="false">
      <c r="A35" s="15"/>
      <c r="B35" s="16"/>
      <c r="C35" s="16"/>
      <c r="D35" s="16"/>
      <c r="E35" s="16"/>
      <c r="F35" s="17"/>
      <c r="G35" s="16"/>
      <c r="H35" s="8" t="str">
        <f aca="false">IF(A35="","",INDEX(Lista_Meses,MONTH(A35)))</f>
        <v/>
      </c>
      <c r="I35" s="8" t="str">
        <f aca="false">IF(A35="","",YEAR(A35))</f>
        <v/>
      </c>
      <c r="J35" s="16"/>
    </row>
    <row r="36" customFormat="false" ht="15" hidden="false" customHeight="false" outlineLevel="0" collapsed="false">
      <c r="A36" s="15"/>
      <c r="B36" s="16"/>
      <c r="C36" s="16"/>
      <c r="D36" s="16"/>
      <c r="E36" s="16"/>
      <c r="F36" s="17"/>
      <c r="G36" s="16"/>
      <c r="H36" s="8" t="str">
        <f aca="false">IF(A36="","",INDEX(Lista_Meses,MONTH(A36)))</f>
        <v/>
      </c>
      <c r="I36" s="8" t="str">
        <f aca="false">IF(A36="","",YEAR(A36))</f>
        <v/>
      </c>
      <c r="J36" s="16"/>
    </row>
    <row r="37" customFormat="false" ht="15" hidden="false" customHeight="false" outlineLevel="0" collapsed="false">
      <c r="A37" s="15"/>
      <c r="B37" s="16"/>
      <c r="C37" s="16"/>
      <c r="D37" s="16"/>
      <c r="E37" s="16"/>
      <c r="F37" s="17"/>
      <c r="G37" s="16"/>
      <c r="H37" s="8" t="str">
        <f aca="false">IF(A37="","",INDEX(Lista_Meses,MONTH(A37)))</f>
        <v/>
      </c>
      <c r="I37" s="8" t="str">
        <f aca="false">IF(A37="","",YEAR(A37))</f>
        <v/>
      </c>
      <c r="J37" s="16"/>
    </row>
    <row r="38" customFormat="false" ht="15" hidden="false" customHeight="false" outlineLevel="0" collapsed="false">
      <c r="A38" s="15"/>
      <c r="B38" s="16"/>
      <c r="C38" s="16"/>
      <c r="D38" s="16"/>
      <c r="E38" s="16"/>
      <c r="F38" s="17"/>
      <c r="G38" s="16"/>
      <c r="H38" s="8" t="str">
        <f aca="false">IF(A38="","",INDEX(Lista_Meses,MONTH(A38)))</f>
        <v/>
      </c>
      <c r="I38" s="8" t="str">
        <f aca="false">IF(A38="","",YEAR(A38))</f>
        <v/>
      </c>
      <c r="J38" s="16"/>
    </row>
    <row r="39" customFormat="false" ht="15" hidden="false" customHeight="false" outlineLevel="0" collapsed="false">
      <c r="A39" s="15"/>
      <c r="B39" s="16"/>
      <c r="C39" s="16"/>
      <c r="D39" s="16"/>
      <c r="E39" s="16"/>
      <c r="F39" s="17"/>
      <c r="G39" s="16"/>
      <c r="H39" s="8" t="str">
        <f aca="false">IF(A39="","",INDEX(Lista_Meses,MONTH(A39)))</f>
        <v/>
      </c>
      <c r="I39" s="8" t="str">
        <f aca="false">IF(A39="","",YEAR(A39))</f>
        <v/>
      </c>
      <c r="J39" s="16"/>
    </row>
    <row r="40" customFormat="false" ht="15" hidden="false" customHeight="false" outlineLevel="0" collapsed="false">
      <c r="A40" s="15"/>
      <c r="B40" s="16"/>
      <c r="C40" s="16"/>
      <c r="D40" s="16"/>
      <c r="E40" s="16"/>
      <c r="F40" s="17"/>
      <c r="G40" s="16"/>
      <c r="H40" s="8" t="str">
        <f aca="false">IF(A40="","",INDEX(Lista_Meses,MONTH(A40)))</f>
        <v/>
      </c>
      <c r="I40" s="8" t="str">
        <f aca="false">IF(A40="","",YEAR(A40))</f>
        <v/>
      </c>
      <c r="J40" s="16"/>
    </row>
    <row r="41" customFormat="false" ht="15" hidden="false" customHeight="false" outlineLevel="0" collapsed="false">
      <c r="A41" s="15"/>
      <c r="B41" s="16"/>
      <c r="C41" s="16"/>
      <c r="D41" s="16"/>
      <c r="E41" s="16"/>
      <c r="F41" s="17"/>
      <c r="G41" s="16"/>
      <c r="H41" s="8" t="str">
        <f aca="false">IF(A41="","",INDEX(Lista_Meses,MONTH(A41)))</f>
        <v/>
      </c>
      <c r="I41" s="8" t="str">
        <f aca="false">IF(A41="","",YEAR(A41))</f>
        <v/>
      </c>
      <c r="J41" s="16"/>
    </row>
    <row r="42" customFormat="false" ht="15" hidden="false" customHeight="false" outlineLevel="0" collapsed="false">
      <c r="A42" s="15"/>
      <c r="B42" s="16"/>
      <c r="C42" s="16"/>
      <c r="D42" s="16"/>
      <c r="E42" s="16"/>
      <c r="F42" s="17"/>
      <c r="G42" s="16"/>
      <c r="H42" s="8" t="str">
        <f aca="false">IF(A42="","",INDEX(Lista_Meses,MONTH(A42)))</f>
        <v/>
      </c>
      <c r="I42" s="8" t="str">
        <f aca="false">IF(A42="","",YEAR(A42))</f>
        <v/>
      </c>
      <c r="J42" s="16"/>
    </row>
    <row r="43" customFormat="false" ht="15" hidden="false" customHeight="false" outlineLevel="0" collapsed="false">
      <c r="A43" s="15"/>
      <c r="B43" s="16"/>
      <c r="C43" s="16"/>
      <c r="D43" s="16"/>
      <c r="E43" s="16"/>
      <c r="F43" s="17"/>
      <c r="G43" s="16"/>
      <c r="H43" s="8" t="str">
        <f aca="false">IF(A43="","",INDEX(Lista_Meses,MONTH(A43)))</f>
        <v/>
      </c>
      <c r="I43" s="8" t="str">
        <f aca="false">IF(A43="","",YEAR(A43))</f>
        <v/>
      </c>
      <c r="J43" s="16"/>
    </row>
    <row r="44" customFormat="false" ht="15" hidden="false" customHeight="false" outlineLevel="0" collapsed="false">
      <c r="A44" s="15"/>
      <c r="B44" s="16"/>
      <c r="C44" s="16"/>
      <c r="D44" s="16"/>
      <c r="E44" s="16"/>
      <c r="F44" s="17"/>
      <c r="G44" s="16"/>
      <c r="H44" s="8" t="str">
        <f aca="false">IF(A44="","",INDEX(Lista_Meses,MONTH(A44)))</f>
        <v/>
      </c>
      <c r="I44" s="8" t="str">
        <f aca="false">IF(A44="","",YEAR(A44))</f>
        <v/>
      </c>
      <c r="J44" s="16"/>
    </row>
    <row r="45" customFormat="false" ht="15" hidden="false" customHeight="false" outlineLevel="0" collapsed="false">
      <c r="A45" s="15"/>
      <c r="B45" s="16"/>
      <c r="C45" s="16"/>
      <c r="D45" s="16"/>
      <c r="E45" s="16"/>
      <c r="F45" s="17"/>
      <c r="G45" s="16"/>
      <c r="H45" s="8" t="str">
        <f aca="false">IF(A45="","",INDEX(Lista_Meses,MONTH(A45)))</f>
        <v/>
      </c>
      <c r="I45" s="8" t="str">
        <f aca="false">IF(A45="","",YEAR(A45))</f>
        <v/>
      </c>
      <c r="J45" s="16"/>
    </row>
    <row r="46" customFormat="false" ht="15" hidden="false" customHeight="false" outlineLevel="0" collapsed="false">
      <c r="A46" s="15"/>
      <c r="B46" s="16"/>
      <c r="C46" s="16"/>
      <c r="D46" s="16"/>
      <c r="E46" s="16"/>
      <c r="F46" s="17"/>
      <c r="G46" s="16"/>
      <c r="H46" s="8" t="str">
        <f aca="false">IF(A46="","",INDEX(Lista_Meses,MONTH(A46)))</f>
        <v/>
      </c>
      <c r="I46" s="8" t="str">
        <f aca="false">IF(A46="","",YEAR(A46))</f>
        <v/>
      </c>
      <c r="J46" s="16"/>
    </row>
    <row r="47" customFormat="false" ht="15" hidden="false" customHeight="false" outlineLevel="0" collapsed="false">
      <c r="A47" s="15"/>
      <c r="B47" s="16"/>
      <c r="C47" s="16"/>
      <c r="D47" s="16"/>
      <c r="E47" s="16"/>
      <c r="F47" s="17"/>
      <c r="G47" s="16"/>
      <c r="H47" s="8" t="str">
        <f aca="false">IF(A47="","",INDEX(Lista_Meses,MONTH(A47)))</f>
        <v/>
      </c>
      <c r="I47" s="8" t="str">
        <f aca="false">IF(A47="","",YEAR(A47))</f>
        <v/>
      </c>
      <c r="J47" s="16"/>
    </row>
    <row r="48" customFormat="false" ht="15" hidden="false" customHeight="false" outlineLevel="0" collapsed="false">
      <c r="A48" s="15"/>
      <c r="B48" s="16"/>
      <c r="C48" s="16"/>
      <c r="D48" s="16"/>
      <c r="E48" s="16"/>
      <c r="F48" s="17"/>
      <c r="G48" s="16"/>
      <c r="H48" s="8" t="str">
        <f aca="false">IF(A48="","",INDEX(Lista_Meses,MONTH(A48)))</f>
        <v/>
      </c>
      <c r="I48" s="8" t="str">
        <f aca="false">IF(A48="","",YEAR(A48))</f>
        <v/>
      </c>
      <c r="J48" s="16"/>
    </row>
    <row r="49" customFormat="false" ht="15" hidden="false" customHeight="false" outlineLevel="0" collapsed="false">
      <c r="A49" s="15"/>
      <c r="B49" s="16"/>
      <c r="C49" s="16"/>
      <c r="D49" s="16"/>
      <c r="E49" s="16"/>
      <c r="F49" s="17"/>
      <c r="G49" s="16"/>
      <c r="H49" s="8" t="str">
        <f aca="false">IF(A49="","",INDEX(Lista_Meses,MONTH(A49)))</f>
        <v/>
      </c>
      <c r="I49" s="8" t="str">
        <f aca="false">IF(A49="","",YEAR(A49))</f>
        <v/>
      </c>
      <c r="J49" s="16"/>
    </row>
    <row r="50" customFormat="false" ht="15" hidden="false" customHeight="false" outlineLevel="0" collapsed="false">
      <c r="A50" s="15"/>
      <c r="B50" s="16"/>
      <c r="C50" s="16"/>
      <c r="D50" s="16"/>
      <c r="E50" s="16"/>
      <c r="F50" s="17"/>
      <c r="G50" s="16"/>
      <c r="H50" s="8" t="str">
        <f aca="false">IF(A50="","",INDEX(Lista_Meses,MONTH(A50)))</f>
        <v/>
      </c>
      <c r="I50" s="8" t="str">
        <f aca="false">IF(A50="","",YEAR(A50))</f>
        <v/>
      </c>
      <c r="J50" s="16"/>
    </row>
    <row r="51" customFormat="false" ht="15" hidden="false" customHeight="false" outlineLevel="0" collapsed="false">
      <c r="A51" s="15"/>
      <c r="B51" s="16"/>
      <c r="C51" s="16"/>
      <c r="D51" s="16"/>
      <c r="E51" s="16"/>
      <c r="F51" s="17"/>
      <c r="G51" s="16"/>
      <c r="H51" s="8" t="str">
        <f aca="false">IF(A51="","",INDEX(Lista_Meses,MONTH(A51)))</f>
        <v/>
      </c>
      <c r="I51" s="8" t="str">
        <f aca="false">IF(A51="","",YEAR(A51))</f>
        <v/>
      </c>
      <c r="J51" s="16"/>
    </row>
    <row r="52" customFormat="false" ht="15" hidden="false" customHeight="false" outlineLevel="0" collapsed="false">
      <c r="A52" s="15"/>
      <c r="B52" s="16"/>
      <c r="C52" s="16"/>
      <c r="D52" s="16"/>
      <c r="E52" s="16"/>
      <c r="F52" s="17"/>
      <c r="G52" s="16"/>
      <c r="H52" s="8" t="str">
        <f aca="false">IF(A52="","",INDEX(Lista_Meses,MONTH(A52)))</f>
        <v/>
      </c>
      <c r="I52" s="8" t="str">
        <f aca="false">IF(A52="","",YEAR(A52))</f>
        <v/>
      </c>
      <c r="J52" s="16"/>
    </row>
    <row r="53" customFormat="false" ht="15" hidden="false" customHeight="false" outlineLevel="0" collapsed="false">
      <c r="A53" s="15"/>
      <c r="B53" s="16"/>
      <c r="C53" s="16"/>
      <c r="D53" s="16"/>
      <c r="E53" s="16"/>
      <c r="F53" s="17"/>
      <c r="G53" s="16"/>
      <c r="H53" s="8" t="str">
        <f aca="false">IF(A53="","",INDEX(Lista_Meses,MONTH(A53)))</f>
        <v/>
      </c>
      <c r="I53" s="8" t="str">
        <f aca="false">IF(A53="","",YEAR(A53))</f>
        <v/>
      </c>
      <c r="J53" s="16"/>
    </row>
    <row r="54" customFormat="false" ht="15" hidden="false" customHeight="false" outlineLevel="0" collapsed="false">
      <c r="A54" s="15"/>
      <c r="B54" s="16"/>
      <c r="C54" s="16"/>
      <c r="D54" s="16"/>
      <c r="E54" s="16"/>
      <c r="F54" s="17"/>
      <c r="G54" s="16"/>
      <c r="H54" s="8" t="str">
        <f aca="false">IF(A54="","",INDEX(Lista_Meses,MONTH(A54)))</f>
        <v/>
      </c>
      <c r="I54" s="8" t="str">
        <f aca="false">IF(A54="","",YEAR(A54))</f>
        <v/>
      </c>
      <c r="J54" s="16"/>
    </row>
    <row r="55" customFormat="false" ht="15" hidden="false" customHeight="false" outlineLevel="0" collapsed="false">
      <c r="A55" s="15"/>
      <c r="B55" s="16"/>
      <c r="C55" s="16"/>
      <c r="D55" s="16"/>
      <c r="E55" s="16"/>
      <c r="F55" s="17"/>
      <c r="G55" s="16"/>
      <c r="H55" s="8" t="str">
        <f aca="false">IF(A55="","",INDEX(Lista_Meses,MONTH(A55)))</f>
        <v/>
      </c>
      <c r="I55" s="8" t="str">
        <f aca="false">IF(A55="","",YEAR(A55))</f>
        <v/>
      </c>
      <c r="J55" s="16"/>
    </row>
    <row r="56" customFormat="false" ht="15" hidden="false" customHeight="false" outlineLevel="0" collapsed="false">
      <c r="A56" s="15"/>
      <c r="B56" s="16"/>
      <c r="C56" s="16"/>
      <c r="D56" s="16"/>
      <c r="E56" s="16"/>
      <c r="F56" s="17"/>
      <c r="G56" s="16"/>
      <c r="H56" s="8" t="str">
        <f aca="false">IF(A56="","",INDEX(Lista_Meses,MONTH(A56)))</f>
        <v/>
      </c>
      <c r="I56" s="8" t="str">
        <f aca="false">IF(A56="","",YEAR(A56))</f>
        <v/>
      </c>
      <c r="J56" s="16"/>
    </row>
    <row r="57" customFormat="false" ht="15" hidden="false" customHeight="false" outlineLevel="0" collapsed="false">
      <c r="A57" s="15"/>
      <c r="B57" s="16"/>
      <c r="C57" s="16"/>
      <c r="D57" s="16"/>
      <c r="E57" s="16"/>
      <c r="F57" s="17"/>
      <c r="G57" s="16"/>
      <c r="H57" s="8" t="str">
        <f aca="false">IF(A57="","",INDEX(Lista_Meses,MONTH(A57)))</f>
        <v/>
      </c>
      <c r="I57" s="8" t="str">
        <f aca="false">IF(A57="","",YEAR(A57))</f>
        <v/>
      </c>
      <c r="J57" s="16"/>
    </row>
    <row r="58" customFormat="false" ht="15" hidden="false" customHeight="false" outlineLevel="0" collapsed="false">
      <c r="A58" s="15"/>
      <c r="B58" s="16"/>
      <c r="C58" s="16"/>
      <c r="D58" s="16"/>
      <c r="E58" s="16"/>
      <c r="F58" s="17"/>
      <c r="G58" s="16"/>
      <c r="H58" s="8" t="str">
        <f aca="false">IF(A58="","",INDEX(Lista_Meses,MONTH(A58)))</f>
        <v/>
      </c>
      <c r="I58" s="8" t="str">
        <f aca="false">IF(A58="","",YEAR(A58))</f>
        <v/>
      </c>
      <c r="J58" s="16"/>
    </row>
    <row r="59" customFormat="false" ht="15" hidden="false" customHeight="false" outlineLevel="0" collapsed="false">
      <c r="A59" s="15"/>
      <c r="B59" s="16"/>
      <c r="C59" s="16"/>
      <c r="D59" s="16"/>
      <c r="E59" s="16"/>
      <c r="F59" s="17"/>
      <c r="G59" s="16"/>
      <c r="H59" s="8" t="str">
        <f aca="false">IF(A59="","",INDEX(Lista_Meses,MONTH(A59)))</f>
        <v/>
      </c>
      <c r="I59" s="8" t="str">
        <f aca="false">IF(A59="","",YEAR(A59))</f>
        <v/>
      </c>
      <c r="J59" s="16"/>
    </row>
    <row r="60" customFormat="false" ht="15" hidden="false" customHeight="false" outlineLevel="0" collapsed="false">
      <c r="A60" s="15"/>
      <c r="B60" s="16"/>
      <c r="C60" s="16"/>
      <c r="D60" s="16"/>
      <c r="E60" s="16"/>
      <c r="F60" s="17"/>
      <c r="G60" s="16"/>
      <c r="H60" s="8" t="str">
        <f aca="false">IF(A60="","",INDEX(Lista_Meses,MONTH(A60)))</f>
        <v/>
      </c>
      <c r="I60" s="8" t="str">
        <f aca="false">IF(A60="","",YEAR(A60))</f>
        <v/>
      </c>
      <c r="J60" s="16"/>
    </row>
    <row r="61" customFormat="false" ht="15" hidden="false" customHeight="false" outlineLevel="0" collapsed="false">
      <c r="A61" s="15"/>
      <c r="B61" s="16"/>
      <c r="C61" s="16"/>
      <c r="D61" s="16"/>
      <c r="E61" s="16"/>
      <c r="F61" s="17"/>
      <c r="G61" s="16"/>
      <c r="H61" s="8" t="str">
        <f aca="false">IF(A61="","",INDEX(Lista_Meses,MONTH(A61)))</f>
        <v/>
      </c>
      <c r="I61" s="8" t="str">
        <f aca="false">IF(A61="","",YEAR(A61))</f>
        <v/>
      </c>
      <c r="J61" s="16"/>
    </row>
    <row r="62" customFormat="false" ht="15" hidden="false" customHeight="false" outlineLevel="0" collapsed="false">
      <c r="A62" s="15"/>
      <c r="B62" s="16"/>
      <c r="C62" s="16"/>
      <c r="D62" s="16"/>
      <c r="E62" s="16"/>
      <c r="F62" s="17"/>
      <c r="G62" s="16"/>
      <c r="H62" s="8" t="str">
        <f aca="false">IF(A62="","",INDEX(Lista_Meses,MONTH(A62)))</f>
        <v/>
      </c>
      <c r="I62" s="8" t="str">
        <f aca="false">IF(A62="","",YEAR(A62))</f>
        <v/>
      </c>
      <c r="J62" s="16"/>
    </row>
    <row r="63" customFormat="false" ht="15" hidden="false" customHeight="false" outlineLevel="0" collapsed="false">
      <c r="A63" s="15"/>
      <c r="B63" s="16"/>
      <c r="C63" s="16"/>
      <c r="D63" s="16"/>
      <c r="E63" s="16"/>
      <c r="F63" s="17"/>
      <c r="G63" s="16"/>
      <c r="H63" s="8" t="str">
        <f aca="false">IF(A63="","",INDEX(Lista_Meses,MONTH(A63)))</f>
        <v/>
      </c>
      <c r="I63" s="8" t="str">
        <f aca="false">IF(A63="","",YEAR(A63))</f>
        <v/>
      </c>
      <c r="J63" s="16"/>
    </row>
    <row r="64" customFormat="false" ht="15" hidden="false" customHeight="false" outlineLevel="0" collapsed="false">
      <c r="A64" s="15"/>
      <c r="B64" s="16"/>
      <c r="C64" s="16"/>
      <c r="D64" s="16"/>
      <c r="E64" s="16"/>
      <c r="F64" s="17"/>
      <c r="G64" s="16"/>
      <c r="H64" s="8" t="str">
        <f aca="false">IF(A64="","",INDEX(Lista_Meses,MONTH(A64)))</f>
        <v/>
      </c>
      <c r="I64" s="8" t="str">
        <f aca="false">IF(A64="","",YEAR(A64))</f>
        <v/>
      </c>
      <c r="J64" s="16"/>
    </row>
    <row r="65" customFormat="false" ht="15" hidden="false" customHeight="false" outlineLevel="0" collapsed="false">
      <c r="A65" s="15"/>
      <c r="B65" s="16"/>
      <c r="C65" s="16"/>
      <c r="D65" s="16"/>
      <c r="E65" s="16"/>
      <c r="F65" s="17"/>
      <c r="G65" s="16"/>
      <c r="H65" s="8" t="str">
        <f aca="false">IF(A65="","",INDEX(Lista_Meses,MONTH(A65)))</f>
        <v/>
      </c>
      <c r="I65" s="8" t="str">
        <f aca="false">IF(A65="","",YEAR(A65))</f>
        <v/>
      </c>
      <c r="J65" s="16"/>
    </row>
    <row r="66" customFormat="false" ht="15" hidden="false" customHeight="false" outlineLevel="0" collapsed="false">
      <c r="A66" s="15"/>
      <c r="B66" s="16"/>
      <c r="C66" s="16"/>
      <c r="D66" s="16"/>
      <c r="E66" s="16"/>
      <c r="F66" s="17"/>
      <c r="G66" s="16"/>
      <c r="H66" s="8" t="str">
        <f aca="false">IF(A66="","",INDEX(Lista_Meses,MONTH(A66)))</f>
        <v/>
      </c>
      <c r="I66" s="8" t="str">
        <f aca="false">IF(A66="","",YEAR(A66))</f>
        <v/>
      </c>
      <c r="J66" s="16"/>
    </row>
    <row r="67" customFormat="false" ht="15" hidden="false" customHeight="false" outlineLevel="0" collapsed="false">
      <c r="A67" s="15"/>
      <c r="B67" s="16"/>
      <c r="C67" s="16"/>
      <c r="D67" s="16"/>
      <c r="E67" s="16"/>
      <c r="F67" s="17"/>
      <c r="G67" s="16"/>
      <c r="H67" s="8" t="str">
        <f aca="false">IF(A67="","",INDEX(Lista_Meses,MONTH(A67)))</f>
        <v/>
      </c>
      <c r="I67" s="8" t="str">
        <f aca="false">IF(A67="","",YEAR(A67))</f>
        <v/>
      </c>
      <c r="J67" s="16"/>
    </row>
    <row r="68" customFormat="false" ht="15" hidden="false" customHeight="false" outlineLevel="0" collapsed="false">
      <c r="A68" s="15"/>
      <c r="B68" s="16"/>
      <c r="C68" s="16"/>
      <c r="D68" s="16"/>
      <c r="E68" s="16"/>
      <c r="F68" s="17"/>
      <c r="G68" s="16"/>
      <c r="H68" s="8" t="str">
        <f aca="false">IF(A68="","",INDEX(Lista_Meses,MONTH(A68)))</f>
        <v/>
      </c>
      <c r="I68" s="8" t="str">
        <f aca="false">IF(A68="","",YEAR(A68))</f>
        <v/>
      </c>
      <c r="J68" s="16"/>
    </row>
    <row r="69" customFormat="false" ht="15" hidden="false" customHeight="false" outlineLevel="0" collapsed="false">
      <c r="A69" s="15"/>
      <c r="B69" s="16"/>
      <c r="C69" s="16"/>
      <c r="D69" s="16"/>
      <c r="E69" s="16"/>
      <c r="F69" s="17"/>
      <c r="G69" s="16"/>
      <c r="H69" s="8" t="str">
        <f aca="false">IF(A69="","",INDEX(Lista_Meses,MONTH(A69)))</f>
        <v/>
      </c>
      <c r="I69" s="8" t="str">
        <f aca="false">IF(A69="","",YEAR(A69))</f>
        <v/>
      </c>
      <c r="J69" s="16"/>
    </row>
    <row r="70" customFormat="false" ht="15" hidden="false" customHeight="false" outlineLevel="0" collapsed="false">
      <c r="A70" s="15"/>
      <c r="B70" s="16"/>
      <c r="C70" s="16"/>
      <c r="D70" s="16"/>
      <c r="E70" s="16"/>
      <c r="F70" s="17"/>
      <c r="G70" s="16"/>
      <c r="H70" s="8" t="str">
        <f aca="false">IF(A70="","",INDEX(Lista_Meses,MONTH(A70)))</f>
        <v/>
      </c>
      <c r="I70" s="8" t="str">
        <f aca="false">IF(A70="","",YEAR(A70))</f>
        <v/>
      </c>
      <c r="J70" s="16"/>
    </row>
    <row r="71" customFormat="false" ht="15" hidden="false" customHeight="false" outlineLevel="0" collapsed="false">
      <c r="A71" s="15"/>
      <c r="B71" s="16"/>
      <c r="C71" s="16"/>
      <c r="D71" s="16"/>
      <c r="E71" s="16"/>
      <c r="F71" s="17"/>
      <c r="G71" s="16"/>
      <c r="H71" s="8" t="str">
        <f aca="false">IF(A71="","",INDEX(Lista_Meses,MONTH(A71)))</f>
        <v/>
      </c>
      <c r="I71" s="8" t="str">
        <f aca="false">IF(A71="","",YEAR(A71))</f>
        <v/>
      </c>
      <c r="J71" s="16"/>
    </row>
    <row r="72" customFormat="false" ht="15" hidden="false" customHeight="false" outlineLevel="0" collapsed="false">
      <c r="A72" s="15"/>
      <c r="B72" s="16"/>
      <c r="C72" s="16"/>
      <c r="D72" s="16"/>
      <c r="E72" s="16"/>
      <c r="F72" s="17"/>
      <c r="G72" s="16"/>
      <c r="H72" s="8" t="str">
        <f aca="false">IF(A72="","",INDEX(Lista_Meses,MONTH(A72)))</f>
        <v/>
      </c>
      <c r="I72" s="8" t="str">
        <f aca="false">IF(A72="","",YEAR(A72))</f>
        <v/>
      </c>
      <c r="J72" s="16"/>
    </row>
    <row r="73" customFormat="false" ht="15" hidden="false" customHeight="false" outlineLevel="0" collapsed="false">
      <c r="A73" s="15"/>
      <c r="B73" s="16"/>
      <c r="C73" s="16"/>
      <c r="D73" s="16"/>
      <c r="E73" s="16"/>
      <c r="F73" s="17"/>
      <c r="G73" s="16"/>
      <c r="H73" s="8" t="str">
        <f aca="false">IF(A73="","",INDEX(Lista_Meses,MONTH(A73)))</f>
        <v/>
      </c>
      <c r="I73" s="8" t="str">
        <f aca="false">IF(A73="","",YEAR(A73))</f>
        <v/>
      </c>
      <c r="J73" s="16"/>
    </row>
    <row r="74" customFormat="false" ht="15" hidden="false" customHeight="false" outlineLevel="0" collapsed="false">
      <c r="A74" s="15"/>
      <c r="B74" s="16"/>
      <c r="C74" s="16"/>
      <c r="D74" s="16"/>
      <c r="E74" s="16"/>
      <c r="F74" s="17"/>
      <c r="G74" s="16"/>
      <c r="H74" s="8" t="str">
        <f aca="false">IF(A74="","",INDEX(Lista_Meses,MONTH(A74)))</f>
        <v/>
      </c>
      <c r="I74" s="8" t="str">
        <f aca="false">IF(A74="","",YEAR(A74))</f>
        <v/>
      </c>
      <c r="J74" s="16"/>
    </row>
    <row r="75" customFormat="false" ht="15" hidden="false" customHeight="false" outlineLevel="0" collapsed="false">
      <c r="A75" s="15"/>
      <c r="B75" s="16"/>
      <c r="C75" s="16"/>
      <c r="D75" s="16"/>
      <c r="E75" s="16"/>
      <c r="F75" s="17"/>
      <c r="G75" s="16"/>
      <c r="H75" s="8" t="str">
        <f aca="false">IF(A75="","",INDEX(Lista_Meses,MONTH(A75)))</f>
        <v/>
      </c>
      <c r="I75" s="8" t="str">
        <f aca="false">IF(A75="","",YEAR(A75))</f>
        <v/>
      </c>
      <c r="J75" s="16"/>
    </row>
    <row r="76" customFormat="false" ht="15" hidden="false" customHeight="false" outlineLevel="0" collapsed="false">
      <c r="A76" s="15"/>
      <c r="B76" s="16"/>
      <c r="C76" s="16"/>
      <c r="D76" s="16"/>
      <c r="E76" s="16"/>
      <c r="F76" s="17"/>
      <c r="G76" s="16"/>
      <c r="H76" s="8" t="str">
        <f aca="false">IF(A76="","",INDEX(Lista_Meses,MONTH(A76)))</f>
        <v/>
      </c>
      <c r="I76" s="8" t="str">
        <f aca="false">IF(A76="","",YEAR(A76))</f>
        <v/>
      </c>
      <c r="J76" s="16"/>
    </row>
    <row r="77" customFormat="false" ht="15" hidden="false" customHeight="false" outlineLevel="0" collapsed="false">
      <c r="A77" s="15"/>
      <c r="B77" s="16"/>
      <c r="C77" s="16"/>
      <c r="D77" s="16"/>
      <c r="E77" s="16"/>
      <c r="F77" s="17"/>
      <c r="G77" s="16"/>
      <c r="H77" s="8" t="str">
        <f aca="false">IF(A77="","",INDEX(Lista_Meses,MONTH(A77)))</f>
        <v/>
      </c>
      <c r="I77" s="8" t="str">
        <f aca="false">IF(A77="","",YEAR(A77))</f>
        <v/>
      </c>
      <c r="J77" s="16"/>
    </row>
    <row r="78" customFormat="false" ht="15" hidden="false" customHeight="false" outlineLevel="0" collapsed="false">
      <c r="A78" s="15"/>
      <c r="B78" s="16"/>
      <c r="C78" s="16"/>
      <c r="D78" s="16"/>
      <c r="E78" s="16"/>
      <c r="F78" s="17"/>
      <c r="G78" s="16"/>
      <c r="H78" s="8" t="str">
        <f aca="false">IF(A78="","",INDEX(Lista_Meses,MONTH(A78)))</f>
        <v/>
      </c>
      <c r="I78" s="8" t="str">
        <f aca="false">IF(A78="","",YEAR(A78))</f>
        <v/>
      </c>
      <c r="J78" s="16"/>
    </row>
    <row r="79" customFormat="false" ht="15" hidden="false" customHeight="false" outlineLevel="0" collapsed="false">
      <c r="A79" s="15"/>
      <c r="B79" s="16"/>
      <c r="C79" s="16"/>
      <c r="D79" s="16"/>
      <c r="E79" s="16"/>
      <c r="F79" s="17"/>
      <c r="G79" s="16"/>
      <c r="H79" s="8" t="str">
        <f aca="false">IF(A79="","",INDEX(Lista_Meses,MONTH(A79)))</f>
        <v/>
      </c>
      <c r="I79" s="8" t="str">
        <f aca="false">IF(A79="","",YEAR(A79))</f>
        <v/>
      </c>
      <c r="J79" s="16"/>
    </row>
    <row r="80" customFormat="false" ht="15" hidden="false" customHeight="false" outlineLevel="0" collapsed="false">
      <c r="A80" s="15"/>
      <c r="B80" s="16"/>
      <c r="C80" s="16"/>
      <c r="D80" s="16"/>
      <c r="E80" s="16"/>
      <c r="F80" s="17"/>
      <c r="G80" s="16"/>
      <c r="H80" s="8" t="str">
        <f aca="false">IF(A80="","",INDEX(Lista_Meses,MONTH(A80)))</f>
        <v/>
      </c>
      <c r="I80" s="8" t="str">
        <f aca="false">IF(A80="","",YEAR(A80))</f>
        <v/>
      </c>
      <c r="J80" s="16"/>
    </row>
    <row r="81" customFormat="false" ht="15" hidden="false" customHeight="false" outlineLevel="0" collapsed="false">
      <c r="A81" s="15"/>
      <c r="B81" s="16"/>
      <c r="C81" s="16"/>
      <c r="D81" s="16"/>
      <c r="E81" s="16"/>
      <c r="F81" s="17"/>
      <c r="G81" s="16"/>
      <c r="H81" s="8" t="str">
        <f aca="false">IF(A81="","",INDEX(Lista_Meses,MONTH(A81)))</f>
        <v/>
      </c>
      <c r="I81" s="8" t="str">
        <f aca="false">IF(A81="","",YEAR(A81))</f>
        <v/>
      </c>
      <c r="J81" s="16"/>
    </row>
    <row r="82" customFormat="false" ht="15" hidden="false" customHeight="false" outlineLevel="0" collapsed="false">
      <c r="A82" s="15"/>
      <c r="B82" s="16"/>
      <c r="C82" s="16"/>
      <c r="D82" s="16"/>
      <c r="E82" s="16"/>
      <c r="F82" s="17"/>
      <c r="G82" s="16"/>
      <c r="H82" s="8" t="str">
        <f aca="false">IF(A82="","",INDEX(Lista_Meses,MONTH(A82)))</f>
        <v/>
      </c>
      <c r="I82" s="8" t="str">
        <f aca="false">IF(A82="","",YEAR(A82))</f>
        <v/>
      </c>
      <c r="J82" s="16"/>
    </row>
    <row r="83" customFormat="false" ht="15" hidden="false" customHeight="false" outlineLevel="0" collapsed="false">
      <c r="A83" s="15"/>
      <c r="B83" s="16"/>
      <c r="C83" s="16"/>
      <c r="D83" s="16"/>
      <c r="E83" s="16"/>
      <c r="F83" s="17"/>
      <c r="G83" s="16"/>
      <c r="H83" s="8" t="str">
        <f aca="false">IF(A83="","",INDEX(Lista_Meses,MONTH(A83)))</f>
        <v/>
      </c>
      <c r="I83" s="8" t="str">
        <f aca="false">IF(A83="","",YEAR(A83))</f>
        <v/>
      </c>
      <c r="J83" s="16"/>
    </row>
    <row r="84" customFormat="false" ht="15" hidden="false" customHeight="false" outlineLevel="0" collapsed="false">
      <c r="A84" s="15"/>
      <c r="B84" s="16"/>
      <c r="C84" s="16"/>
      <c r="D84" s="16"/>
      <c r="E84" s="16"/>
      <c r="F84" s="17"/>
      <c r="G84" s="16"/>
      <c r="H84" s="8" t="str">
        <f aca="false">IF(A84="","",INDEX(Lista_Meses,MONTH(A84)))</f>
        <v/>
      </c>
      <c r="I84" s="8" t="str">
        <f aca="false">IF(A84="","",YEAR(A84))</f>
        <v/>
      </c>
      <c r="J84" s="16"/>
    </row>
    <row r="85" customFormat="false" ht="15" hidden="false" customHeight="false" outlineLevel="0" collapsed="false">
      <c r="A85" s="15"/>
      <c r="B85" s="16"/>
      <c r="C85" s="16"/>
      <c r="D85" s="16"/>
      <c r="E85" s="16"/>
      <c r="F85" s="17"/>
      <c r="G85" s="16"/>
      <c r="H85" s="8" t="str">
        <f aca="false">IF(A85="","",INDEX(Lista_Meses,MONTH(A85)))</f>
        <v/>
      </c>
      <c r="I85" s="8" t="str">
        <f aca="false">IF(A85="","",YEAR(A85))</f>
        <v/>
      </c>
      <c r="J85" s="16"/>
    </row>
    <row r="86" customFormat="false" ht="15" hidden="false" customHeight="false" outlineLevel="0" collapsed="false">
      <c r="A86" s="15"/>
      <c r="B86" s="16"/>
      <c r="C86" s="16"/>
      <c r="D86" s="16"/>
      <c r="E86" s="16"/>
      <c r="F86" s="17"/>
      <c r="G86" s="16"/>
      <c r="H86" s="8" t="str">
        <f aca="false">IF(A86="","",INDEX(Lista_Meses,MONTH(A86)))</f>
        <v/>
      </c>
      <c r="I86" s="8" t="str">
        <f aca="false">IF(A86="","",YEAR(A86))</f>
        <v/>
      </c>
      <c r="J86" s="16"/>
    </row>
    <row r="87" customFormat="false" ht="15" hidden="false" customHeight="false" outlineLevel="0" collapsed="false">
      <c r="A87" s="15"/>
      <c r="B87" s="16"/>
      <c r="C87" s="16"/>
      <c r="D87" s="16"/>
      <c r="E87" s="16"/>
      <c r="F87" s="17"/>
      <c r="G87" s="16"/>
      <c r="H87" s="8" t="str">
        <f aca="false">IF(A87="","",INDEX(Lista_Meses,MONTH(A87)))</f>
        <v/>
      </c>
      <c r="I87" s="8" t="str">
        <f aca="false">IF(A87="","",YEAR(A87))</f>
        <v/>
      </c>
      <c r="J87" s="16"/>
    </row>
    <row r="88" customFormat="false" ht="15" hidden="false" customHeight="false" outlineLevel="0" collapsed="false">
      <c r="A88" s="15"/>
      <c r="B88" s="16"/>
      <c r="C88" s="16"/>
      <c r="D88" s="16"/>
      <c r="E88" s="16"/>
      <c r="F88" s="17"/>
      <c r="G88" s="16"/>
      <c r="H88" s="8" t="str">
        <f aca="false">IF(A88="","",INDEX(Lista_Meses,MONTH(A88)))</f>
        <v/>
      </c>
      <c r="I88" s="8" t="str">
        <f aca="false">IF(A88="","",YEAR(A88))</f>
        <v/>
      </c>
      <c r="J88" s="16"/>
    </row>
    <row r="89" customFormat="false" ht="15" hidden="false" customHeight="false" outlineLevel="0" collapsed="false">
      <c r="A89" s="15"/>
      <c r="B89" s="16"/>
      <c r="C89" s="16"/>
      <c r="D89" s="16"/>
      <c r="E89" s="16"/>
      <c r="F89" s="17"/>
      <c r="G89" s="16"/>
      <c r="H89" s="8" t="str">
        <f aca="false">IF(A89="","",INDEX(Lista_Meses,MONTH(A89)))</f>
        <v/>
      </c>
      <c r="I89" s="8" t="str">
        <f aca="false">IF(A89="","",YEAR(A89))</f>
        <v/>
      </c>
      <c r="J89" s="16"/>
    </row>
    <row r="90" customFormat="false" ht="15" hidden="false" customHeight="false" outlineLevel="0" collapsed="false">
      <c r="A90" s="15"/>
      <c r="B90" s="16"/>
      <c r="C90" s="16"/>
      <c r="D90" s="16"/>
      <c r="E90" s="16"/>
      <c r="F90" s="17"/>
      <c r="G90" s="16"/>
      <c r="H90" s="8" t="str">
        <f aca="false">IF(A90="","",INDEX(Lista_Meses,MONTH(A90)))</f>
        <v/>
      </c>
      <c r="I90" s="8" t="str">
        <f aca="false">IF(A90="","",YEAR(A90))</f>
        <v/>
      </c>
      <c r="J90" s="16"/>
    </row>
    <row r="91" customFormat="false" ht="15" hidden="false" customHeight="false" outlineLevel="0" collapsed="false">
      <c r="A91" s="15"/>
      <c r="B91" s="16"/>
      <c r="C91" s="16"/>
      <c r="D91" s="16"/>
      <c r="E91" s="16"/>
      <c r="F91" s="17"/>
      <c r="G91" s="16"/>
      <c r="H91" s="8" t="str">
        <f aca="false">IF(A91="","",INDEX(Lista_Meses,MONTH(A91)))</f>
        <v/>
      </c>
      <c r="I91" s="8" t="str">
        <f aca="false">IF(A91="","",YEAR(A91))</f>
        <v/>
      </c>
      <c r="J91" s="16"/>
    </row>
    <row r="92" customFormat="false" ht="15" hidden="false" customHeight="false" outlineLevel="0" collapsed="false">
      <c r="A92" s="15"/>
      <c r="B92" s="16"/>
      <c r="C92" s="16"/>
      <c r="D92" s="16"/>
      <c r="E92" s="16"/>
      <c r="F92" s="17"/>
      <c r="G92" s="16"/>
      <c r="H92" s="8" t="str">
        <f aca="false">IF(A92="","",INDEX(Lista_Meses,MONTH(A92)))</f>
        <v/>
      </c>
      <c r="I92" s="8" t="str">
        <f aca="false">IF(A92="","",YEAR(A92))</f>
        <v/>
      </c>
      <c r="J92" s="16"/>
    </row>
    <row r="93" customFormat="false" ht="15" hidden="false" customHeight="false" outlineLevel="0" collapsed="false">
      <c r="A93" s="15"/>
      <c r="B93" s="16"/>
      <c r="C93" s="16"/>
      <c r="D93" s="16"/>
      <c r="E93" s="16"/>
      <c r="F93" s="17"/>
      <c r="G93" s="16"/>
      <c r="H93" s="8" t="str">
        <f aca="false">IF(A93="","",INDEX(Lista_Meses,MONTH(A93)))</f>
        <v/>
      </c>
      <c r="I93" s="8" t="str">
        <f aca="false">IF(A93="","",YEAR(A93))</f>
        <v/>
      </c>
      <c r="J93" s="16"/>
    </row>
    <row r="94" customFormat="false" ht="15" hidden="false" customHeight="false" outlineLevel="0" collapsed="false">
      <c r="A94" s="15"/>
      <c r="B94" s="16"/>
      <c r="C94" s="16"/>
      <c r="D94" s="16"/>
      <c r="E94" s="16"/>
      <c r="F94" s="17"/>
      <c r="G94" s="16"/>
      <c r="H94" s="8" t="str">
        <f aca="false">IF(A94="","",INDEX(Lista_Meses,MONTH(A94)))</f>
        <v/>
      </c>
      <c r="I94" s="8" t="str">
        <f aca="false">IF(A94="","",YEAR(A94))</f>
        <v/>
      </c>
      <c r="J94" s="16"/>
    </row>
    <row r="95" customFormat="false" ht="15" hidden="false" customHeight="false" outlineLevel="0" collapsed="false">
      <c r="A95" s="15"/>
      <c r="B95" s="16"/>
      <c r="C95" s="16"/>
      <c r="D95" s="16"/>
      <c r="E95" s="16"/>
      <c r="F95" s="17"/>
      <c r="G95" s="16"/>
      <c r="H95" s="8" t="str">
        <f aca="false">IF(A95="","",INDEX(Lista_Meses,MONTH(A95)))</f>
        <v/>
      </c>
      <c r="I95" s="8" t="str">
        <f aca="false">IF(A95="","",YEAR(A95))</f>
        <v/>
      </c>
      <c r="J95" s="16"/>
    </row>
    <row r="96" customFormat="false" ht="15" hidden="false" customHeight="false" outlineLevel="0" collapsed="false">
      <c r="A96" s="15"/>
      <c r="B96" s="16"/>
      <c r="C96" s="16"/>
      <c r="D96" s="16"/>
      <c r="E96" s="16"/>
      <c r="F96" s="17"/>
      <c r="G96" s="16"/>
      <c r="H96" s="8" t="str">
        <f aca="false">IF(A96="","",INDEX(Lista_Meses,MONTH(A96)))</f>
        <v/>
      </c>
      <c r="I96" s="8" t="str">
        <f aca="false">IF(A96="","",YEAR(A96))</f>
        <v/>
      </c>
      <c r="J96" s="16"/>
    </row>
    <row r="97" customFormat="false" ht="15" hidden="false" customHeight="false" outlineLevel="0" collapsed="false">
      <c r="A97" s="15"/>
      <c r="B97" s="16"/>
      <c r="C97" s="16"/>
      <c r="D97" s="16"/>
      <c r="E97" s="16"/>
      <c r="F97" s="17"/>
      <c r="G97" s="16"/>
      <c r="H97" s="8" t="str">
        <f aca="false">IF(A97="","",INDEX(Lista_Meses,MONTH(A97)))</f>
        <v/>
      </c>
      <c r="I97" s="8" t="str">
        <f aca="false">IF(A97="","",YEAR(A97))</f>
        <v/>
      </c>
      <c r="J97" s="16"/>
    </row>
    <row r="98" customFormat="false" ht="15" hidden="false" customHeight="false" outlineLevel="0" collapsed="false">
      <c r="A98" s="15"/>
      <c r="B98" s="16"/>
      <c r="C98" s="16"/>
      <c r="D98" s="16"/>
      <c r="E98" s="16"/>
      <c r="F98" s="17"/>
      <c r="G98" s="16"/>
      <c r="H98" s="8" t="str">
        <f aca="false">IF(A98="","",INDEX(Lista_Meses,MONTH(A98)))</f>
        <v/>
      </c>
      <c r="I98" s="8" t="str">
        <f aca="false">IF(A98="","",YEAR(A98))</f>
        <v/>
      </c>
      <c r="J98" s="16"/>
    </row>
    <row r="99" customFormat="false" ht="15" hidden="false" customHeight="false" outlineLevel="0" collapsed="false">
      <c r="A99" s="15"/>
      <c r="B99" s="16"/>
      <c r="C99" s="16"/>
      <c r="D99" s="16"/>
      <c r="E99" s="16"/>
      <c r="F99" s="17"/>
      <c r="G99" s="16"/>
      <c r="H99" s="8" t="str">
        <f aca="false">IF(A99="","",INDEX(Lista_Meses,MONTH(A99)))</f>
        <v/>
      </c>
      <c r="I99" s="8" t="str">
        <f aca="false">IF(A99="","",YEAR(A99))</f>
        <v/>
      </c>
      <c r="J99" s="16"/>
    </row>
    <row r="100" customFormat="false" ht="15" hidden="false" customHeight="false" outlineLevel="0" collapsed="false">
      <c r="A100" s="15"/>
      <c r="B100" s="16"/>
      <c r="C100" s="16"/>
      <c r="D100" s="16"/>
      <c r="E100" s="16"/>
      <c r="F100" s="17"/>
      <c r="G100" s="16"/>
      <c r="H100" s="8" t="str">
        <f aca="false">IF(A100="","",INDEX(Lista_Meses,MONTH(A100)))</f>
        <v/>
      </c>
      <c r="I100" s="8" t="str">
        <f aca="false">IF(A100="","",YEAR(A100))</f>
        <v/>
      </c>
      <c r="J100" s="16"/>
    </row>
    <row r="101" customFormat="false" ht="15" hidden="false" customHeight="false" outlineLevel="0" collapsed="false">
      <c r="A101" s="15"/>
      <c r="B101" s="16"/>
      <c r="C101" s="16"/>
      <c r="D101" s="16"/>
      <c r="E101" s="16"/>
      <c r="F101" s="17"/>
      <c r="G101" s="16"/>
      <c r="H101" s="8" t="str">
        <f aca="false">IF(A101="","",INDEX(Lista_Meses,MONTH(A101)))</f>
        <v/>
      </c>
      <c r="I101" s="8" t="str">
        <f aca="false">IF(A101="","",YEAR(A101))</f>
        <v/>
      </c>
      <c r="J101" s="16"/>
    </row>
    <row r="102" customFormat="false" ht="15" hidden="false" customHeight="false" outlineLevel="0" collapsed="false">
      <c r="A102" s="15"/>
      <c r="B102" s="16"/>
      <c r="C102" s="16"/>
      <c r="D102" s="16"/>
      <c r="E102" s="16"/>
      <c r="F102" s="17"/>
      <c r="G102" s="16"/>
      <c r="H102" s="8" t="str">
        <f aca="false">IF(A102="","",INDEX(Lista_Meses,MONTH(A102)))</f>
        <v/>
      </c>
      <c r="I102" s="8" t="str">
        <f aca="false">IF(A102="","",YEAR(A102))</f>
        <v/>
      </c>
      <c r="J102" s="16"/>
    </row>
    <row r="103" customFormat="false" ht="15" hidden="false" customHeight="false" outlineLevel="0" collapsed="false">
      <c r="A103" s="15"/>
      <c r="B103" s="16"/>
      <c r="C103" s="16"/>
      <c r="D103" s="16"/>
      <c r="E103" s="16"/>
      <c r="F103" s="17"/>
      <c r="G103" s="16"/>
      <c r="H103" s="8" t="str">
        <f aca="false">IF(A103="","",INDEX(Lista_Meses,MONTH(A103)))</f>
        <v/>
      </c>
      <c r="I103" s="8" t="str">
        <f aca="false">IF(A103="","",YEAR(A103))</f>
        <v/>
      </c>
      <c r="J103" s="16"/>
    </row>
    <row r="104" customFormat="false" ht="15" hidden="false" customHeight="false" outlineLevel="0" collapsed="false">
      <c r="A104" s="15"/>
      <c r="B104" s="16"/>
      <c r="C104" s="16"/>
      <c r="D104" s="16"/>
      <c r="E104" s="16"/>
      <c r="F104" s="17"/>
      <c r="G104" s="16"/>
      <c r="H104" s="8" t="str">
        <f aca="false">IF(A104="","",INDEX(Lista_Meses,MONTH(A104)))</f>
        <v/>
      </c>
      <c r="I104" s="8" t="str">
        <f aca="false">IF(A104="","",YEAR(A104))</f>
        <v/>
      </c>
      <c r="J104" s="16"/>
    </row>
    <row r="105" customFormat="false" ht="15" hidden="false" customHeight="false" outlineLevel="0" collapsed="false">
      <c r="A105" s="15"/>
      <c r="B105" s="16"/>
      <c r="C105" s="16"/>
      <c r="D105" s="16"/>
      <c r="E105" s="16"/>
      <c r="F105" s="17"/>
      <c r="G105" s="16"/>
      <c r="H105" s="8" t="str">
        <f aca="false">IF(A105="","",INDEX(Lista_Meses,MONTH(A105)))</f>
        <v/>
      </c>
      <c r="I105" s="8" t="str">
        <f aca="false">IF(A105="","",YEAR(A105))</f>
        <v/>
      </c>
      <c r="J105" s="16"/>
    </row>
    <row r="106" customFormat="false" ht="15" hidden="false" customHeight="false" outlineLevel="0" collapsed="false">
      <c r="A106" s="15"/>
      <c r="B106" s="16"/>
      <c r="C106" s="16"/>
      <c r="D106" s="16"/>
      <c r="E106" s="16"/>
      <c r="F106" s="17"/>
      <c r="G106" s="16"/>
      <c r="H106" s="8" t="str">
        <f aca="false">IF(A106="","",INDEX(Lista_Meses,MONTH(A106)))</f>
        <v/>
      </c>
      <c r="I106" s="8" t="str">
        <f aca="false">IF(A106="","",YEAR(A106))</f>
        <v/>
      </c>
      <c r="J106" s="16"/>
    </row>
    <row r="107" customFormat="false" ht="15" hidden="false" customHeight="false" outlineLevel="0" collapsed="false">
      <c r="A107" s="15"/>
      <c r="B107" s="16"/>
      <c r="C107" s="16"/>
      <c r="D107" s="16"/>
      <c r="E107" s="16"/>
      <c r="F107" s="17"/>
      <c r="G107" s="16"/>
      <c r="H107" s="8" t="str">
        <f aca="false">IF(A107="","",INDEX(Lista_Meses,MONTH(A107)))</f>
        <v/>
      </c>
      <c r="I107" s="8" t="str">
        <f aca="false">IF(A107="","",YEAR(A107))</f>
        <v/>
      </c>
      <c r="J107" s="16"/>
    </row>
    <row r="108" customFormat="false" ht="15" hidden="false" customHeight="false" outlineLevel="0" collapsed="false">
      <c r="A108" s="15"/>
      <c r="B108" s="16"/>
      <c r="C108" s="16"/>
      <c r="D108" s="16"/>
      <c r="E108" s="16"/>
      <c r="F108" s="17"/>
      <c r="G108" s="16"/>
      <c r="H108" s="8" t="str">
        <f aca="false">IF(A108="","",INDEX(Lista_Meses,MONTH(A108)))</f>
        <v/>
      </c>
      <c r="I108" s="8" t="str">
        <f aca="false">IF(A108="","",YEAR(A108))</f>
        <v/>
      </c>
      <c r="J108" s="16"/>
    </row>
    <row r="109" customFormat="false" ht="15" hidden="false" customHeight="false" outlineLevel="0" collapsed="false">
      <c r="A109" s="15"/>
      <c r="B109" s="16"/>
      <c r="C109" s="16"/>
      <c r="D109" s="16"/>
      <c r="E109" s="16"/>
      <c r="F109" s="17"/>
      <c r="G109" s="16"/>
      <c r="H109" s="8" t="str">
        <f aca="false">IF(A109="","",INDEX(Lista_Meses,MONTH(A109)))</f>
        <v/>
      </c>
      <c r="I109" s="8" t="str">
        <f aca="false">IF(A109="","",YEAR(A109))</f>
        <v/>
      </c>
      <c r="J109" s="16"/>
    </row>
    <row r="110" customFormat="false" ht="15" hidden="false" customHeight="false" outlineLevel="0" collapsed="false">
      <c r="A110" s="15"/>
      <c r="B110" s="16"/>
      <c r="C110" s="16"/>
      <c r="D110" s="16"/>
      <c r="E110" s="16"/>
      <c r="F110" s="17"/>
      <c r="G110" s="16"/>
      <c r="H110" s="8" t="str">
        <f aca="false">IF(A110="","",INDEX(Lista_Meses,MONTH(A110)))</f>
        <v/>
      </c>
      <c r="I110" s="8" t="str">
        <f aca="false">IF(A110="","",YEAR(A110))</f>
        <v/>
      </c>
      <c r="J110" s="16"/>
    </row>
    <row r="111" customFormat="false" ht="15" hidden="false" customHeight="false" outlineLevel="0" collapsed="false">
      <c r="A111" s="15"/>
      <c r="B111" s="16"/>
      <c r="C111" s="16"/>
      <c r="D111" s="16"/>
      <c r="E111" s="16"/>
      <c r="F111" s="17"/>
      <c r="G111" s="16"/>
      <c r="H111" s="8" t="str">
        <f aca="false">IF(A111="","",INDEX(Lista_Meses,MONTH(A111)))</f>
        <v/>
      </c>
      <c r="I111" s="8" t="str">
        <f aca="false">IF(A111="","",YEAR(A111))</f>
        <v/>
      </c>
      <c r="J111" s="16"/>
    </row>
    <row r="112" customFormat="false" ht="15" hidden="false" customHeight="false" outlineLevel="0" collapsed="false">
      <c r="A112" s="15"/>
      <c r="B112" s="16"/>
      <c r="C112" s="16"/>
      <c r="D112" s="16"/>
      <c r="E112" s="16"/>
      <c r="F112" s="17"/>
      <c r="G112" s="16"/>
      <c r="H112" s="8" t="str">
        <f aca="false">IF(A112="","",INDEX(Lista_Meses,MONTH(A112)))</f>
        <v/>
      </c>
      <c r="I112" s="8" t="str">
        <f aca="false">IF(A112="","",YEAR(A112))</f>
        <v/>
      </c>
      <c r="J112" s="16"/>
    </row>
    <row r="113" customFormat="false" ht="15" hidden="false" customHeight="false" outlineLevel="0" collapsed="false">
      <c r="A113" s="15"/>
      <c r="B113" s="16"/>
      <c r="C113" s="16"/>
      <c r="D113" s="16"/>
      <c r="E113" s="16"/>
      <c r="F113" s="17"/>
      <c r="G113" s="16"/>
      <c r="H113" s="8" t="str">
        <f aca="false">IF(A113="","",INDEX(Lista_Meses,MONTH(A113)))</f>
        <v/>
      </c>
      <c r="I113" s="8" t="str">
        <f aca="false">IF(A113="","",YEAR(A113))</f>
        <v/>
      </c>
      <c r="J113" s="16"/>
    </row>
    <row r="114" customFormat="false" ht="15" hidden="false" customHeight="false" outlineLevel="0" collapsed="false">
      <c r="A114" s="15"/>
      <c r="B114" s="16"/>
      <c r="C114" s="16"/>
      <c r="D114" s="16"/>
      <c r="E114" s="16"/>
      <c r="F114" s="17"/>
      <c r="G114" s="16"/>
      <c r="H114" s="8" t="str">
        <f aca="false">IF(A114="","",INDEX(Lista_Meses,MONTH(A114)))</f>
        <v/>
      </c>
      <c r="I114" s="8" t="str">
        <f aca="false">IF(A114="","",YEAR(A114))</f>
        <v/>
      </c>
      <c r="J114" s="16"/>
    </row>
    <row r="115" customFormat="false" ht="15" hidden="false" customHeight="false" outlineLevel="0" collapsed="false">
      <c r="A115" s="15"/>
      <c r="B115" s="16"/>
      <c r="C115" s="16"/>
      <c r="D115" s="16"/>
      <c r="E115" s="16"/>
      <c r="F115" s="17"/>
      <c r="G115" s="16"/>
      <c r="H115" s="8" t="str">
        <f aca="false">IF(A115="","",INDEX(Lista_Meses,MONTH(A115)))</f>
        <v/>
      </c>
      <c r="I115" s="8" t="str">
        <f aca="false">IF(A115="","",YEAR(A115))</f>
        <v/>
      </c>
      <c r="J115" s="16"/>
    </row>
    <row r="116" customFormat="false" ht="15" hidden="false" customHeight="false" outlineLevel="0" collapsed="false">
      <c r="A116" s="15"/>
      <c r="B116" s="16"/>
      <c r="C116" s="16"/>
      <c r="D116" s="16"/>
      <c r="E116" s="16"/>
      <c r="F116" s="17"/>
      <c r="G116" s="16"/>
      <c r="H116" s="8" t="str">
        <f aca="false">IF(A116="","",INDEX(Lista_Meses,MONTH(A116)))</f>
        <v/>
      </c>
      <c r="I116" s="8" t="str">
        <f aca="false">IF(A116="","",YEAR(A116))</f>
        <v/>
      </c>
      <c r="J116" s="16"/>
    </row>
    <row r="117" customFormat="false" ht="15" hidden="false" customHeight="false" outlineLevel="0" collapsed="false">
      <c r="A117" s="15"/>
      <c r="B117" s="16"/>
      <c r="C117" s="16"/>
      <c r="D117" s="16"/>
      <c r="E117" s="16"/>
      <c r="F117" s="17"/>
      <c r="G117" s="16"/>
      <c r="H117" s="8" t="str">
        <f aca="false">IF(A117="","",INDEX(Lista_Meses,MONTH(A117)))</f>
        <v/>
      </c>
      <c r="I117" s="8" t="str">
        <f aca="false">IF(A117="","",YEAR(A117))</f>
        <v/>
      </c>
      <c r="J117" s="16"/>
    </row>
    <row r="118" customFormat="false" ht="15" hidden="false" customHeight="false" outlineLevel="0" collapsed="false">
      <c r="A118" s="15"/>
      <c r="B118" s="16"/>
      <c r="C118" s="16"/>
      <c r="D118" s="16"/>
      <c r="E118" s="16"/>
      <c r="F118" s="17"/>
      <c r="G118" s="16"/>
      <c r="H118" s="8" t="str">
        <f aca="false">IF(A118="","",INDEX(Lista_Meses,MONTH(A118)))</f>
        <v/>
      </c>
      <c r="I118" s="8" t="str">
        <f aca="false">IF(A118="","",YEAR(A118))</f>
        <v/>
      </c>
      <c r="J118" s="16"/>
    </row>
    <row r="119" customFormat="false" ht="15" hidden="false" customHeight="false" outlineLevel="0" collapsed="false">
      <c r="A119" s="15"/>
      <c r="B119" s="16"/>
      <c r="C119" s="16"/>
      <c r="D119" s="16"/>
      <c r="E119" s="16"/>
      <c r="F119" s="17"/>
      <c r="G119" s="16"/>
      <c r="H119" s="8" t="str">
        <f aca="false">IF(A119="","",INDEX(Lista_Meses,MONTH(A119)))</f>
        <v/>
      </c>
      <c r="I119" s="8" t="str">
        <f aca="false">IF(A119="","",YEAR(A119))</f>
        <v/>
      </c>
      <c r="J119" s="16"/>
    </row>
    <row r="120" customFormat="false" ht="15" hidden="false" customHeight="false" outlineLevel="0" collapsed="false">
      <c r="A120" s="15"/>
      <c r="B120" s="16"/>
      <c r="C120" s="16"/>
      <c r="D120" s="16"/>
      <c r="E120" s="16"/>
      <c r="F120" s="17"/>
      <c r="G120" s="16"/>
      <c r="H120" s="8" t="str">
        <f aca="false">IF(A120="","",INDEX(Lista_Meses,MONTH(A120)))</f>
        <v/>
      </c>
      <c r="I120" s="8" t="str">
        <f aca="false">IF(A120="","",YEAR(A120))</f>
        <v/>
      </c>
      <c r="J120" s="16"/>
    </row>
    <row r="121" customFormat="false" ht="15" hidden="false" customHeight="false" outlineLevel="0" collapsed="false">
      <c r="A121" s="15"/>
      <c r="B121" s="16"/>
      <c r="C121" s="16"/>
      <c r="D121" s="16"/>
      <c r="E121" s="16"/>
      <c r="F121" s="17"/>
      <c r="G121" s="16"/>
      <c r="H121" s="8" t="str">
        <f aca="false">IF(A121="","",INDEX(Lista_Meses,MONTH(A121)))</f>
        <v/>
      </c>
      <c r="I121" s="8" t="str">
        <f aca="false">IF(A121="","",YEAR(A121))</f>
        <v/>
      </c>
      <c r="J121" s="16"/>
    </row>
    <row r="122" customFormat="false" ht="15" hidden="false" customHeight="false" outlineLevel="0" collapsed="false">
      <c r="A122" s="15"/>
      <c r="B122" s="16"/>
      <c r="C122" s="16"/>
      <c r="D122" s="16"/>
      <c r="E122" s="16"/>
      <c r="F122" s="17"/>
      <c r="G122" s="16"/>
      <c r="H122" s="8" t="str">
        <f aca="false">IF(A122="","",INDEX(Lista_Meses,MONTH(A122)))</f>
        <v/>
      </c>
      <c r="I122" s="8" t="str">
        <f aca="false">IF(A122="","",YEAR(A122))</f>
        <v/>
      </c>
      <c r="J122" s="16"/>
    </row>
    <row r="123" customFormat="false" ht="15" hidden="false" customHeight="false" outlineLevel="0" collapsed="false">
      <c r="A123" s="15"/>
      <c r="B123" s="16"/>
      <c r="C123" s="16"/>
      <c r="D123" s="16"/>
      <c r="E123" s="16"/>
      <c r="F123" s="17"/>
      <c r="G123" s="16"/>
      <c r="H123" s="8" t="str">
        <f aca="false">IF(A123="","",INDEX(Lista_Meses,MONTH(A123)))</f>
        <v/>
      </c>
      <c r="I123" s="8" t="str">
        <f aca="false">IF(A123="","",YEAR(A123))</f>
        <v/>
      </c>
      <c r="J123" s="16"/>
    </row>
    <row r="124" customFormat="false" ht="15" hidden="false" customHeight="false" outlineLevel="0" collapsed="false">
      <c r="A124" s="15"/>
      <c r="B124" s="16"/>
      <c r="C124" s="16"/>
      <c r="D124" s="16"/>
      <c r="E124" s="16"/>
      <c r="F124" s="17"/>
      <c r="G124" s="16"/>
      <c r="H124" s="8" t="str">
        <f aca="false">IF(A124="","",INDEX(Lista_Meses,MONTH(A124)))</f>
        <v/>
      </c>
      <c r="I124" s="8" t="str">
        <f aca="false">IF(A124="","",YEAR(A124))</f>
        <v/>
      </c>
      <c r="J124" s="16"/>
    </row>
    <row r="125" customFormat="false" ht="15" hidden="false" customHeight="false" outlineLevel="0" collapsed="false">
      <c r="A125" s="15"/>
      <c r="B125" s="16"/>
      <c r="C125" s="16"/>
      <c r="D125" s="16"/>
      <c r="E125" s="16"/>
      <c r="F125" s="17"/>
      <c r="G125" s="16"/>
      <c r="H125" s="8" t="str">
        <f aca="false">IF(A125="","",INDEX(Lista_Meses,MONTH(A125)))</f>
        <v/>
      </c>
      <c r="I125" s="8" t="str">
        <f aca="false">IF(A125="","",YEAR(A125))</f>
        <v/>
      </c>
      <c r="J125" s="16"/>
    </row>
    <row r="126" customFormat="false" ht="15" hidden="false" customHeight="false" outlineLevel="0" collapsed="false">
      <c r="A126" s="15"/>
      <c r="B126" s="16"/>
      <c r="C126" s="16"/>
      <c r="D126" s="16"/>
      <c r="E126" s="16"/>
      <c r="F126" s="17"/>
      <c r="G126" s="16"/>
      <c r="H126" s="8" t="str">
        <f aca="false">IF(A126="","",INDEX(Lista_Meses,MONTH(A126)))</f>
        <v/>
      </c>
      <c r="I126" s="8" t="str">
        <f aca="false">IF(A126="","",YEAR(A126))</f>
        <v/>
      </c>
      <c r="J126" s="16"/>
    </row>
    <row r="127" customFormat="false" ht="15" hidden="false" customHeight="false" outlineLevel="0" collapsed="false">
      <c r="A127" s="15"/>
      <c r="B127" s="16"/>
      <c r="C127" s="16"/>
      <c r="D127" s="16"/>
      <c r="E127" s="16"/>
      <c r="F127" s="17"/>
      <c r="G127" s="16"/>
      <c r="H127" s="8" t="str">
        <f aca="false">IF(A127="","",INDEX(Lista_Meses,MONTH(A127)))</f>
        <v/>
      </c>
      <c r="I127" s="8" t="str">
        <f aca="false">IF(A127="","",YEAR(A127))</f>
        <v/>
      </c>
      <c r="J127" s="16"/>
    </row>
    <row r="128" customFormat="false" ht="15" hidden="false" customHeight="false" outlineLevel="0" collapsed="false">
      <c r="A128" s="15"/>
      <c r="B128" s="16"/>
      <c r="C128" s="16"/>
      <c r="D128" s="16"/>
      <c r="E128" s="16"/>
      <c r="F128" s="17"/>
      <c r="G128" s="16"/>
      <c r="H128" s="8" t="str">
        <f aca="false">IF(A128="","",INDEX(Lista_Meses,MONTH(A128)))</f>
        <v/>
      </c>
      <c r="I128" s="8" t="str">
        <f aca="false">IF(A128="","",YEAR(A128))</f>
        <v/>
      </c>
      <c r="J128" s="16"/>
    </row>
    <row r="129" customFormat="false" ht="15" hidden="false" customHeight="false" outlineLevel="0" collapsed="false">
      <c r="A129" s="15"/>
      <c r="B129" s="16"/>
      <c r="C129" s="16"/>
      <c r="D129" s="16"/>
      <c r="E129" s="16"/>
      <c r="F129" s="17"/>
      <c r="G129" s="16"/>
      <c r="H129" s="8" t="str">
        <f aca="false">IF(A129="","",INDEX(Lista_Meses,MONTH(A129)))</f>
        <v/>
      </c>
      <c r="I129" s="8" t="str">
        <f aca="false">IF(A129="","",YEAR(A129))</f>
        <v/>
      </c>
      <c r="J129" s="16"/>
    </row>
    <row r="130" customFormat="false" ht="15" hidden="false" customHeight="false" outlineLevel="0" collapsed="false">
      <c r="A130" s="15"/>
      <c r="B130" s="16"/>
      <c r="C130" s="16"/>
      <c r="D130" s="16"/>
      <c r="E130" s="16"/>
      <c r="F130" s="17"/>
      <c r="G130" s="16"/>
      <c r="H130" s="8" t="str">
        <f aca="false">IF(A130="","",INDEX(Lista_Meses,MONTH(A130)))</f>
        <v/>
      </c>
      <c r="I130" s="8" t="str">
        <f aca="false">IF(A130="","",YEAR(A130))</f>
        <v/>
      </c>
      <c r="J130" s="16"/>
    </row>
    <row r="131" customFormat="false" ht="15" hidden="false" customHeight="false" outlineLevel="0" collapsed="false">
      <c r="A131" s="15"/>
      <c r="B131" s="16"/>
      <c r="C131" s="16"/>
      <c r="D131" s="16"/>
      <c r="E131" s="16"/>
      <c r="F131" s="17"/>
      <c r="G131" s="16"/>
      <c r="H131" s="8" t="str">
        <f aca="false">IF(A131="","",INDEX(Lista_Meses,MONTH(A131)))</f>
        <v/>
      </c>
      <c r="I131" s="8" t="str">
        <f aca="false">IF(A131="","",YEAR(A131))</f>
        <v/>
      </c>
      <c r="J131" s="16"/>
    </row>
    <row r="132" customFormat="false" ht="15" hidden="false" customHeight="false" outlineLevel="0" collapsed="false">
      <c r="A132" s="15"/>
      <c r="B132" s="16"/>
      <c r="C132" s="16"/>
      <c r="D132" s="16"/>
      <c r="E132" s="16"/>
      <c r="F132" s="17"/>
      <c r="G132" s="16"/>
      <c r="H132" s="8" t="str">
        <f aca="false">IF(A132="","",INDEX(Lista_Meses,MONTH(A132)))</f>
        <v/>
      </c>
      <c r="I132" s="8" t="str">
        <f aca="false">IF(A132="","",YEAR(A132))</f>
        <v/>
      </c>
      <c r="J132" s="16"/>
    </row>
    <row r="133" customFormat="false" ht="15" hidden="false" customHeight="false" outlineLevel="0" collapsed="false">
      <c r="A133" s="15"/>
      <c r="B133" s="16"/>
      <c r="C133" s="16"/>
      <c r="D133" s="16"/>
      <c r="E133" s="16"/>
      <c r="F133" s="17"/>
      <c r="G133" s="16"/>
      <c r="H133" s="8" t="str">
        <f aca="false">IF(A133="","",INDEX(Lista_Meses,MONTH(A133)))</f>
        <v/>
      </c>
      <c r="I133" s="8" t="str">
        <f aca="false">IF(A133="","",YEAR(A133))</f>
        <v/>
      </c>
      <c r="J133" s="16"/>
    </row>
    <row r="134" customFormat="false" ht="15" hidden="false" customHeight="false" outlineLevel="0" collapsed="false">
      <c r="A134" s="15"/>
      <c r="B134" s="16"/>
      <c r="C134" s="16"/>
      <c r="D134" s="16"/>
      <c r="E134" s="16"/>
      <c r="F134" s="17"/>
      <c r="G134" s="16"/>
      <c r="H134" s="8" t="str">
        <f aca="false">IF(A134="","",INDEX(Lista_Meses,MONTH(A134)))</f>
        <v/>
      </c>
      <c r="I134" s="8" t="str">
        <f aca="false">IF(A134="","",YEAR(A134))</f>
        <v/>
      </c>
      <c r="J134" s="16"/>
    </row>
    <row r="135" customFormat="false" ht="15" hidden="false" customHeight="false" outlineLevel="0" collapsed="false">
      <c r="A135" s="15"/>
      <c r="B135" s="16"/>
      <c r="C135" s="16"/>
      <c r="D135" s="16"/>
      <c r="E135" s="16"/>
      <c r="F135" s="17"/>
      <c r="G135" s="16"/>
      <c r="H135" s="8" t="str">
        <f aca="false">IF(A135="","",INDEX(Lista_Meses,MONTH(A135)))</f>
        <v/>
      </c>
      <c r="I135" s="8" t="str">
        <f aca="false">IF(A135="","",YEAR(A135))</f>
        <v/>
      </c>
      <c r="J135" s="16"/>
    </row>
    <row r="136" customFormat="false" ht="15" hidden="false" customHeight="false" outlineLevel="0" collapsed="false">
      <c r="A136" s="15"/>
      <c r="B136" s="16"/>
      <c r="C136" s="16"/>
      <c r="D136" s="16"/>
      <c r="E136" s="16"/>
      <c r="F136" s="17"/>
      <c r="G136" s="16"/>
      <c r="H136" s="8" t="str">
        <f aca="false">IF(A136="","",INDEX(Lista_Meses,MONTH(A136)))</f>
        <v/>
      </c>
      <c r="I136" s="8" t="str">
        <f aca="false">IF(A136="","",YEAR(A136))</f>
        <v/>
      </c>
      <c r="J136" s="16"/>
    </row>
    <row r="137" customFormat="false" ht="15" hidden="false" customHeight="false" outlineLevel="0" collapsed="false">
      <c r="A137" s="15"/>
      <c r="B137" s="16"/>
      <c r="C137" s="16"/>
      <c r="D137" s="16"/>
      <c r="E137" s="16"/>
      <c r="F137" s="17"/>
      <c r="G137" s="16"/>
      <c r="H137" s="8" t="str">
        <f aca="false">IF(A137="","",INDEX(Lista_Meses,MONTH(A137)))</f>
        <v/>
      </c>
      <c r="I137" s="8" t="str">
        <f aca="false">IF(A137="","",YEAR(A137))</f>
        <v/>
      </c>
      <c r="J137" s="16"/>
    </row>
    <row r="138" customFormat="false" ht="15" hidden="false" customHeight="false" outlineLevel="0" collapsed="false">
      <c r="A138" s="15"/>
      <c r="B138" s="16"/>
      <c r="C138" s="16"/>
      <c r="D138" s="16"/>
      <c r="E138" s="16"/>
      <c r="F138" s="17"/>
      <c r="G138" s="16"/>
      <c r="H138" s="8" t="str">
        <f aca="false">IF(A138="","",INDEX(Lista_Meses,MONTH(A138)))</f>
        <v/>
      </c>
      <c r="I138" s="8" t="str">
        <f aca="false">IF(A138="","",YEAR(A138))</f>
        <v/>
      </c>
      <c r="J138" s="16"/>
    </row>
    <row r="139" customFormat="false" ht="15" hidden="false" customHeight="false" outlineLevel="0" collapsed="false">
      <c r="A139" s="15"/>
      <c r="B139" s="16"/>
      <c r="C139" s="16"/>
      <c r="D139" s="16"/>
      <c r="E139" s="16"/>
      <c r="F139" s="17"/>
      <c r="G139" s="16"/>
      <c r="H139" s="8" t="str">
        <f aca="false">IF(A139="","",INDEX(Lista_Meses,MONTH(A139)))</f>
        <v/>
      </c>
      <c r="I139" s="8" t="str">
        <f aca="false">IF(A139="","",YEAR(A139))</f>
        <v/>
      </c>
      <c r="J139" s="16"/>
    </row>
    <row r="140" customFormat="false" ht="15" hidden="false" customHeight="false" outlineLevel="0" collapsed="false">
      <c r="A140" s="15"/>
      <c r="B140" s="16"/>
      <c r="C140" s="16"/>
      <c r="D140" s="16"/>
      <c r="E140" s="16"/>
      <c r="F140" s="17"/>
      <c r="G140" s="16"/>
      <c r="H140" s="8" t="str">
        <f aca="false">IF(A140="","",INDEX(Lista_Meses,MONTH(A140)))</f>
        <v/>
      </c>
      <c r="I140" s="8" t="str">
        <f aca="false">IF(A140="","",YEAR(A140))</f>
        <v/>
      </c>
      <c r="J140" s="16"/>
    </row>
    <row r="141" customFormat="false" ht="15" hidden="false" customHeight="false" outlineLevel="0" collapsed="false">
      <c r="A141" s="15"/>
      <c r="B141" s="16"/>
      <c r="C141" s="16"/>
      <c r="D141" s="16"/>
      <c r="E141" s="16"/>
      <c r="F141" s="17"/>
      <c r="G141" s="16"/>
      <c r="H141" s="8" t="str">
        <f aca="false">IF(A141="","",INDEX(Lista_Meses,MONTH(A141)))</f>
        <v/>
      </c>
      <c r="I141" s="8" t="str">
        <f aca="false">IF(A141="","",YEAR(A141))</f>
        <v/>
      </c>
      <c r="J141" s="16"/>
    </row>
    <row r="142" customFormat="false" ht="15" hidden="false" customHeight="false" outlineLevel="0" collapsed="false">
      <c r="A142" s="15"/>
      <c r="B142" s="16"/>
      <c r="C142" s="16"/>
      <c r="D142" s="16"/>
      <c r="E142" s="16"/>
      <c r="F142" s="17"/>
      <c r="G142" s="16"/>
      <c r="H142" s="8" t="str">
        <f aca="false">IF(A142="","",INDEX(Lista_Meses,MONTH(A142)))</f>
        <v/>
      </c>
      <c r="I142" s="8" t="str">
        <f aca="false">IF(A142="","",YEAR(A142))</f>
        <v/>
      </c>
      <c r="J142" s="16"/>
    </row>
    <row r="143" customFormat="false" ht="15" hidden="false" customHeight="false" outlineLevel="0" collapsed="false">
      <c r="A143" s="15"/>
      <c r="B143" s="16"/>
      <c r="C143" s="16"/>
      <c r="D143" s="16"/>
      <c r="E143" s="16"/>
      <c r="F143" s="17"/>
      <c r="G143" s="16"/>
      <c r="H143" s="8" t="str">
        <f aca="false">IF(A143="","",INDEX(Lista_Meses,MONTH(A143)))</f>
        <v/>
      </c>
      <c r="I143" s="8" t="str">
        <f aca="false">IF(A143="","",YEAR(A143))</f>
        <v/>
      </c>
      <c r="J143" s="16"/>
    </row>
    <row r="144" customFormat="false" ht="15" hidden="false" customHeight="false" outlineLevel="0" collapsed="false">
      <c r="A144" s="15"/>
      <c r="B144" s="16"/>
      <c r="C144" s="16"/>
      <c r="D144" s="16"/>
      <c r="E144" s="16"/>
      <c r="F144" s="17"/>
      <c r="G144" s="16"/>
      <c r="H144" s="8" t="str">
        <f aca="false">IF(A144="","",INDEX(Lista_Meses,MONTH(A144)))</f>
        <v/>
      </c>
      <c r="I144" s="8" t="str">
        <f aca="false">IF(A144="","",YEAR(A144))</f>
        <v/>
      </c>
      <c r="J144" s="16"/>
    </row>
    <row r="145" customFormat="false" ht="15" hidden="false" customHeight="false" outlineLevel="0" collapsed="false">
      <c r="A145" s="15"/>
      <c r="B145" s="16"/>
      <c r="C145" s="16"/>
      <c r="D145" s="16"/>
      <c r="E145" s="16"/>
      <c r="F145" s="17"/>
      <c r="G145" s="16"/>
      <c r="H145" s="8" t="str">
        <f aca="false">IF(A145="","",INDEX(Lista_Meses,MONTH(A145)))</f>
        <v/>
      </c>
      <c r="I145" s="8" t="str">
        <f aca="false">IF(A145="","",YEAR(A145))</f>
        <v/>
      </c>
      <c r="J145" s="16"/>
    </row>
    <row r="146" customFormat="false" ht="15" hidden="false" customHeight="false" outlineLevel="0" collapsed="false">
      <c r="A146" s="15"/>
      <c r="B146" s="16"/>
      <c r="C146" s="16"/>
      <c r="D146" s="16"/>
      <c r="E146" s="16"/>
      <c r="F146" s="17"/>
      <c r="G146" s="16"/>
      <c r="H146" s="8" t="str">
        <f aca="false">IF(A146="","",INDEX(Lista_Meses,MONTH(A146)))</f>
        <v/>
      </c>
      <c r="I146" s="8" t="str">
        <f aca="false">IF(A146="","",YEAR(A146))</f>
        <v/>
      </c>
      <c r="J146" s="16"/>
    </row>
    <row r="147" customFormat="false" ht="15" hidden="false" customHeight="false" outlineLevel="0" collapsed="false">
      <c r="A147" s="15"/>
      <c r="B147" s="16"/>
      <c r="C147" s="16"/>
      <c r="D147" s="16"/>
      <c r="E147" s="16"/>
      <c r="F147" s="17"/>
      <c r="G147" s="16"/>
      <c r="H147" s="8" t="str">
        <f aca="false">IF(A147="","",INDEX(Lista_Meses,MONTH(A147)))</f>
        <v/>
      </c>
      <c r="I147" s="8" t="str">
        <f aca="false">IF(A147="","",YEAR(A147))</f>
        <v/>
      </c>
      <c r="J147" s="16"/>
    </row>
    <row r="148" customFormat="false" ht="15" hidden="false" customHeight="false" outlineLevel="0" collapsed="false">
      <c r="A148" s="15"/>
      <c r="B148" s="16"/>
      <c r="C148" s="16"/>
      <c r="D148" s="16"/>
      <c r="E148" s="16"/>
      <c r="F148" s="17"/>
      <c r="G148" s="16"/>
      <c r="H148" s="8" t="str">
        <f aca="false">IF(A148="","",INDEX(Lista_Meses,MONTH(A148)))</f>
        <v/>
      </c>
      <c r="I148" s="8" t="str">
        <f aca="false">IF(A148="","",YEAR(A148))</f>
        <v/>
      </c>
      <c r="J148" s="16"/>
    </row>
    <row r="149" customFormat="false" ht="15" hidden="false" customHeight="false" outlineLevel="0" collapsed="false">
      <c r="A149" s="15"/>
      <c r="B149" s="16"/>
      <c r="C149" s="16"/>
      <c r="D149" s="16"/>
      <c r="E149" s="16"/>
      <c r="F149" s="17"/>
      <c r="G149" s="16"/>
      <c r="H149" s="8" t="str">
        <f aca="false">IF(A149="","",INDEX(Lista_Meses,MONTH(A149)))</f>
        <v/>
      </c>
      <c r="I149" s="8" t="str">
        <f aca="false">IF(A149="","",YEAR(A149))</f>
        <v/>
      </c>
      <c r="J149" s="16"/>
    </row>
    <row r="150" customFormat="false" ht="15" hidden="false" customHeight="false" outlineLevel="0" collapsed="false">
      <c r="A150" s="15"/>
      <c r="B150" s="16"/>
      <c r="C150" s="16"/>
      <c r="D150" s="16"/>
      <c r="E150" s="16"/>
      <c r="F150" s="17"/>
      <c r="G150" s="16"/>
      <c r="H150" s="8" t="str">
        <f aca="false">IF(A150="","",INDEX(Lista_Meses,MONTH(A150)))</f>
        <v/>
      </c>
      <c r="I150" s="8" t="str">
        <f aca="false">IF(A150="","",YEAR(A150))</f>
        <v/>
      </c>
      <c r="J150" s="16"/>
    </row>
    <row r="151" customFormat="false" ht="15" hidden="false" customHeight="false" outlineLevel="0" collapsed="false">
      <c r="A151" s="15"/>
      <c r="B151" s="16"/>
      <c r="C151" s="16"/>
      <c r="D151" s="16"/>
      <c r="E151" s="16"/>
      <c r="F151" s="17"/>
      <c r="G151" s="16"/>
      <c r="H151" s="8" t="str">
        <f aca="false">IF(A151="","",INDEX(Lista_Meses,MONTH(A151)))</f>
        <v/>
      </c>
      <c r="I151" s="8" t="str">
        <f aca="false">IF(A151="","",YEAR(A151))</f>
        <v/>
      </c>
      <c r="J151" s="16"/>
    </row>
    <row r="152" customFormat="false" ht="15" hidden="false" customHeight="false" outlineLevel="0" collapsed="false">
      <c r="A152" s="15"/>
      <c r="B152" s="16"/>
      <c r="C152" s="16"/>
      <c r="D152" s="16"/>
      <c r="E152" s="16"/>
      <c r="F152" s="17"/>
      <c r="G152" s="16"/>
      <c r="H152" s="8" t="str">
        <f aca="false">IF(A152="","",INDEX(Lista_Meses,MONTH(A152)))</f>
        <v/>
      </c>
      <c r="I152" s="8" t="str">
        <f aca="false">IF(A152="","",YEAR(A152))</f>
        <v/>
      </c>
      <c r="J152" s="16"/>
    </row>
    <row r="153" customFormat="false" ht="15" hidden="false" customHeight="false" outlineLevel="0" collapsed="false">
      <c r="A153" s="15"/>
      <c r="B153" s="16"/>
      <c r="C153" s="16"/>
      <c r="D153" s="16"/>
      <c r="E153" s="16"/>
      <c r="F153" s="17"/>
      <c r="G153" s="16"/>
      <c r="H153" s="8" t="str">
        <f aca="false">IF(A153="","",INDEX(Lista_Meses,MONTH(A153)))</f>
        <v/>
      </c>
      <c r="I153" s="8" t="str">
        <f aca="false">IF(A153="","",YEAR(A153))</f>
        <v/>
      </c>
      <c r="J153" s="16"/>
    </row>
    <row r="154" customFormat="false" ht="15" hidden="false" customHeight="false" outlineLevel="0" collapsed="false">
      <c r="A154" s="15"/>
      <c r="B154" s="16"/>
      <c r="C154" s="16"/>
      <c r="D154" s="16"/>
      <c r="E154" s="16"/>
      <c r="F154" s="17"/>
      <c r="G154" s="16"/>
      <c r="H154" s="8" t="str">
        <f aca="false">IF(A154="","",INDEX(Lista_Meses,MONTH(A154)))</f>
        <v/>
      </c>
      <c r="I154" s="8" t="str">
        <f aca="false">IF(A154="","",YEAR(A154))</f>
        <v/>
      </c>
      <c r="J154" s="16"/>
    </row>
    <row r="155" customFormat="false" ht="15" hidden="false" customHeight="false" outlineLevel="0" collapsed="false">
      <c r="A155" s="15"/>
      <c r="B155" s="16"/>
      <c r="C155" s="16"/>
      <c r="D155" s="16"/>
      <c r="E155" s="16"/>
      <c r="F155" s="17"/>
      <c r="G155" s="16"/>
      <c r="H155" s="8" t="str">
        <f aca="false">IF(A155="","",INDEX(Lista_Meses,MONTH(A155)))</f>
        <v/>
      </c>
      <c r="I155" s="8" t="str">
        <f aca="false">IF(A155="","",YEAR(A155))</f>
        <v/>
      </c>
      <c r="J155" s="16"/>
    </row>
    <row r="156" customFormat="false" ht="15" hidden="false" customHeight="false" outlineLevel="0" collapsed="false">
      <c r="A156" s="15"/>
      <c r="B156" s="16"/>
      <c r="C156" s="16"/>
      <c r="D156" s="16"/>
      <c r="E156" s="16"/>
      <c r="F156" s="17"/>
      <c r="G156" s="16"/>
      <c r="H156" s="8" t="str">
        <f aca="false">IF(A156="","",INDEX(Lista_Meses,MONTH(A156)))</f>
        <v/>
      </c>
      <c r="I156" s="8" t="str">
        <f aca="false">IF(A156="","",YEAR(A156))</f>
        <v/>
      </c>
      <c r="J156" s="16"/>
    </row>
    <row r="157" customFormat="false" ht="15" hidden="false" customHeight="false" outlineLevel="0" collapsed="false">
      <c r="A157" s="15"/>
      <c r="B157" s="16"/>
      <c r="C157" s="16"/>
      <c r="D157" s="16"/>
      <c r="E157" s="16"/>
      <c r="F157" s="17"/>
      <c r="G157" s="16"/>
      <c r="H157" s="8" t="str">
        <f aca="false">IF(A157="","",INDEX(Lista_Meses,MONTH(A157)))</f>
        <v/>
      </c>
      <c r="I157" s="8" t="str">
        <f aca="false">IF(A157="","",YEAR(A157))</f>
        <v/>
      </c>
      <c r="J157" s="16"/>
    </row>
    <row r="158" customFormat="false" ht="15" hidden="false" customHeight="false" outlineLevel="0" collapsed="false">
      <c r="A158" s="15"/>
      <c r="B158" s="16"/>
      <c r="C158" s="16"/>
      <c r="D158" s="16"/>
      <c r="E158" s="16"/>
      <c r="F158" s="17"/>
      <c r="G158" s="16"/>
      <c r="H158" s="8" t="str">
        <f aca="false">IF(A158="","",INDEX(Lista_Meses,MONTH(A158)))</f>
        <v/>
      </c>
      <c r="I158" s="8" t="str">
        <f aca="false">IF(A158="","",YEAR(A158))</f>
        <v/>
      </c>
      <c r="J158" s="16"/>
    </row>
    <row r="159" customFormat="false" ht="15" hidden="false" customHeight="false" outlineLevel="0" collapsed="false">
      <c r="A159" s="15"/>
      <c r="B159" s="16"/>
      <c r="C159" s="16"/>
      <c r="D159" s="16"/>
      <c r="E159" s="16"/>
      <c r="F159" s="17"/>
      <c r="G159" s="16"/>
      <c r="H159" s="8" t="str">
        <f aca="false">IF(A159="","",INDEX(Lista_Meses,MONTH(A159)))</f>
        <v/>
      </c>
      <c r="I159" s="8" t="str">
        <f aca="false">IF(A159="","",YEAR(A159))</f>
        <v/>
      </c>
      <c r="J159" s="16"/>
    </row>
    <row r="160" customFormat="false" ht="15" hidden="false" customHeight="false" outlineLevel="0" collapsed="false">
      <c r="A160" s="15"/>
      <c r="B160" s="16"/>
      <c r="C160" s="16"/>
      <c r="D160" s="16"/>
      <c r="E160" s="16"/>
      <c r="F160" s="17"/>
      <c r="G160" s="16"/>
      <c r="H160" s="8" t="str">
        <f aca="false">IF(A160="","",INDEX(Lista_Meses,MONTH(A160)))</f>
        <v/>
      </c>
      <c r="I160" s="8" t="str">
        <f aca="false">IF(A160="","",YEAR(A160))</f>
        <v/>
      </c>
      <c r="J160" s="16"/>
    </row>
    <row r="161" customFormat="false" ht="15" hidden="false" customHeight="false" outlineLevel="0" collapsed="false">
      <c r="A161" s="15"/>
      <c r="B161" s="16"/>
      <c r="C161" s="16"/>
      <c r="D161" s="16"/>
      <c r="E161" s="16"/>
      <c r="F161" s="17"/>
      <c r="G161" s="16"/>
      <c r="H161" s="8" t="str">
        <f aca="false">IF(A161="","",INDEX(Lista_Meses,MONTH(A161)))</f>
        <v/>
      </c>
      <c r="I161" s="8" t="str">
        <f aca="false">IF(A161="","",YEAR(A161))</f>
        <v/>
      </c>
      <c r="J161" s="16"/>
    </row>
    <row r="162" customFormat="false" ht="15" hidden="false" customHeight="false" outlineLevel="0" collapsed="false">
      <c r="A162" s="15"/>
      <c r="B162" s="16"/>
      <c r="C162" s="16"/>
      <c r="D162" s="16"/>
      <c r="E162" s="16"/>
      <c r="F162" s="17"/>
      <c r="G162" s="16"/>
      <c r="H162" s="8" t="str">
        <f aca="false">IF(A162="","",INDEX(Lista_Meses,MONTH(A162)))</f>
        <v/>
      </c>
      <c r="I162" s="8" t="str">
        <f aca="false">IF(A162="","",YEAR(A162))</f>
        <v/>
      </c>
      <c r="J162" s="16"/>
    </row>
    <row r="163" customFormat="false" ht="15" hidden="false" customHeight="false" outlineLevel="0" collapsed="false">
      <c r="A163" s="15"/>
      <c r="B163" s="16"/>
      <c r="C163" s="16"/>
      <c r="D163" s="16"/>
      <c r="E163" s="16"/>
      <c r="F163" s="17"/>
      <c r="G163" s="16"/>
      <c r="H163" s="8" t="str">
        <f aca="false">IF(A163="","",INDEX(Lista_Meses,MONTH(A163)))</f>
        <v/>
      </c>
      <c r="I163" s="8" t="str">
        <f aca="false">IF(A163="","",YEAR(A163))</f>
        <v/>
      </c>
      <c r="J163" s="16"/>
    </row>
    <row r="164" customFormat="false" ht="15" hidden="false" customHeight="false" outlineLevel="0" collapsed="false">
      <c r="A164" s="15"/>
      <c r="B164" s="16"/>
      <c r="C164" s="16"/>
      <c r="D164" s="16"/>
      <c r="E164" s="16"/>
      <c r="F164" s="17"/>
      <c r="G164" s="16"/>
      <c r="H164" s="8" t="str">
        <f aca="false">IF(A164="","",INDEX(Lista_Meses,MONTH(A164)))</f>
        <v/>
      </c>
      <c r="I164" s="8" t="str">
        <f aca="false">IF(A164="","",YEAR(A164))</f>
        <v/>
      </c>
      <c r="J164" s="16"/>
    </row>
    <row r="165" customFormat="false" ht="15" hidden="false" customHeight="false" outlineLevel="0" collapsed="false">
      <c r="A165" s="15"/>
      <c r="B165" s="16"/>
      <c r="C165" s="16"/>
      <c r="D165" s="16"/>
      <c r="E165" s="16"/>
      <c r="F165" s="17"/>
      <c r="G165" s="16"/>
      <c r="H165" s="8" t="str">
        <f aca="false">IF(A165="","",INDEX(Lista_Meses,MONTH(A165)))</f>
        <v/>
      </c>
      <c r="I165" s="8" t="str">
        <f aca="false">IF(A165="","",YEAR(A165))</f>
        <v/>
      </c>
      <c r="J165" s="16"/>
    </row>
    <row r="166" customFormat="false" ht="15" hidden="false" customHeight="false" outlineLevel="0" collapsed="false">
      <c r="A166" s="15"/>
      <c r="B166" s="16"/>
      <c r="C166" s="16"/>
      <c r="D166" s="16"/>
      <c r="E166" s="16"/>
      <c r="F166" s="17"/>
      <c r="G166" s="16"/>
      <c r="H166" s="8" t="str">
        <f aca="false">IF(A166="","",INDEX(Lista_Meses,MONTH(A166)))</f>
        <v/>
      </c>
      <c r="I166" s="8" t="str">
        <f aca="false">IF(A166="","",YEAR(A166))</f>
        <v/>
      </c>
      <c r="J166" s="16"/>
    </row>
    <row r="167" customFormat="false" ht="15" hidden="false" customHeight="false" outlineLevel="0" collapsed="false">
      <c r="A167" s="15"/>
      <c r="B167" s="16"/>
      <c r="C167" s="16"/>
      <c r="D167" s="16"/>
      <c r="E167" s="16"/>
      <c r="F167" s="17"/>
      <c r="G167" s="16"/>
      <c r="H167" s="8" t="str">
        <f aca="false">IF(A167="","",INDEX(Lista_Meses,MONTH(A167)))</f>
        <v/>
      </c>
      <c r="I167" s="8" t="str">
        <f aca="false">IF(A167="","",YEAR(A167))</f>
        <v/>
      </c>
      <c r="J167" s="16"/>
    </row>
    <row r="168" customFormat="false" ht="15" hidden="false" customHeight="false" outlineLevel="0" collapsed="false">
      <c r="A168" s="15"/>
      <c r="B168" s="16"/>
      <c r="C168" s="16"/>
      <c r="D168" s="16"/>
      <c r="E168" s="16"/>
      <c r="F168" s="17"/>
      <c r="G168" s="16"/>
      <c r="H168" s="8" t="str">
        <f aca="false">IF(A168="","",INDEX(Lista_Meses,MONTH(A168)))</f>
        <v/>
      </c>
      <c r="I168" s="8" t="str">
        <f aca="false">IF(A168="","",YEAR(A168))</f>
        <v/>
      </c>
      <c r="J168" s="16"/>
    </row>
    <row r="169" customFormat="false" ht="15" hidden="false" customHeight="false" outlineLevel="0" collapsed="false">
      <c r="A169" s="15"/>
      <c r="B169" s="16"/>
      <c r="C169" s="16"/>
      <c r="D169" s="16"/>
      <c r="E169" s="16"/>
      <c r="F169" s="17"/>
      <c r="G169" s="16"/>
      <c r="H169" s="8" t="str">
        <f aca="false">IF(A169="","",INDEX(Lista_Meses,MONTH(A169)))</f>
        <v/>
      </c>
      <c r="I169" s="8" t="str">
        <f aca="false">IF(A169="","",YEAR(A169))</f>
        <v/>
      </c>
      <c r="J169" s="16"/>
    </row>
    <row r="170" customFormat="false" ht="15" hidden="false" customHeight="false" outlineLevel="0" collapsed="false">
      <c r="A170" s="15"/>
      <c r="B170" s="16"/>
      <c r="C170" s="16"/>
      <c r="D170" s="16"/>
      <c r="E170" s="16"/>
      <c r="F170" s="17"/>
      <c r="G170" s="16"/>
      <c r="H170" s="8" t="str">
        <f aca="false">IF(A170="","",INDEX(Lista_Meses,MONTH(A170)))</f>
        <v/>
      </c>
      <c r="I170" s="8" t="str">
        <f aca="false">IF(A170="","",YEAR(A170))</f>
        <v/>
      </c>
      <c r="J170" s="16"/>
    </row>
    <row r="171" customFormat="false" ht="15" hidden="false" customHeight="false" outlineLevel="0" collapsed="false">
      <c r="A171" s="15"/>
      <c r="B171" s="16"/>
      <c r="C171" s="16"/>
      <c r="D171" s="16"/>
      <c r="E171" s="16"/>
      <c r="F171" s="17"/>
      <c r="G171" s="16"/>
      <c r="H171" s="8" t="str">
        <f aca="false">IF(A171="","",INDEX(Lista_Meses,MONTH(A171)))</f>
        <v/>
      </c>
      <c r="I171" s="8" t="str">
        <f aca="false">IF(A171="","",YEAR(A171))</f>
        <v/>
      </c>
      <c r="J171" s="16"/>
    </row>
    <row r="172" customFormat="false" ht="15" hidden="false" customHeight="false" outlineLevel="0" collapsed="false">
      <c r="A172" s="15"/>
      <c r="B172" s="16"/>
      <c r="C172" s="16"/>
      <c r="D172" s="16"/>
      <c r="E172" s="16"/>
      <c r="F172" s="17"/>
      <c r="G172" s="16"/>
      <c r="H172" s="8" t="str">
        <f aca="false">IF(A172="","",INDEX(Lista_Meses,MONTH(A172)))</f>
        <v/>
      </c>
      <c r="I172" s="8" t="str">
        <f aca="false">IF(A172="","",YEAR(A172))</f>
        <v/>
      </c>
      <c r="J172" s="16"/>
    </row>
    <row r="173" customFormat="false" ht="15" hidden="false" customHeight="false" outlineLevel="0" collapsed="false">
      <c r="A173" s="15"/>
      <c r="B173" s="16"/>
      <c r="C173" s="16"/>
      <c r="D173" s="16"/>
      <c r="E173" s="16"/>
      <c r="F173" s="17"/>
      <c r="G173" s="16"/>
      <c r="H173" s="8" t="str">
        <f aca="false">IF(A173="","",INDEX(Lista_Meses,MONTH(A173)))</f>
        <v/>
      </c>
      <c r="I173" s="8" t="str">
        <f aca="false">IF(A173="","",YEAR(A173))</f>
        <v/>
      </c>
      <c r="J173" s="16"/>
    </row>
    <row r="174" customFormat="false" ht="15" hidden="false" customHeight="false" outlineLevel="0" collapsed="false">
      <c r="A174" s="15"/>
      <c r="B174" s="16"/>
      <c r="C174" s="16"/>
      <c r="D174" s="16"/>
      <c r="E174" s="16"/>
      <c r="F174" s="17"/>
      <c r="G174" s="16"/>
      <c r="H174" s="8" t="str">
        <f aca="false">IF(A174="","",INDEX(Lista_Meses,MONTH(A174)))</f>
        <v/>
      </c>
      <c r="I174" s="8" t="str">
        <f aca="false">IF(A174="","",YEAR(A174))</f>
        <v/>
      </c>
      <c r="J174" s="16"/>
    </row>
    <row r="175" customFormat="false" ht="15" hidden="false" customHeight="false" outlineLevel="0" collapsed="false">
      <c r="A175" s="15"/>
      <c r="B175" s="16"/>
      <c r="C175" s="16"/>
      <c r="D175" s="16"/>
      <c r="E175" s="16"/>
      <c r="F175" s="17"/>
      <c r="G175" s="16"/>
      <c r="H175" s="8" t="str">
        <f aca="false">IF(A175="","",INDEX(Lista_Meses,MONTH(A175)))</f>
        <v/>
      </c>
      <c r="I175" s="8" t="str">
        <f aca="false">IF(A175="","",YEAR(A175))</f>
        <v/>
      </c>
      <c r="J175" s="16"/>
    </row>
    <row r="176" customFormat="false" ht="15" hidden="false" customHeight="false" outlineLevel="0" collapsed="false">
      <c r="A176" s="15"/>
      <c r="B176" s="16"/>
      <c r="C176" s="16"/>
      <c r="D176" s="16"/>
      <c r="E176" s="16"/>
      <c r="F176" s="17"/>
      <c r="G176" s="16"/>
      <c r="H176" s="8" t="str">
        <f aca="false">IF(A176="","",INDEX(Lista_Meses,MONTH(A176)))</f>
        <v/>
      </c>
      <c r="I176" s="8" t="str">
        <f aca="false">IF(A176="","",YEAR(A176))</f>
        <v/>
      </c>
      <c r="J176" s="16"/>
    </row>
    <row r="177" customFormat="false" ht="15" hidden="false" customHeight="false" outlineLevel="0" collapsed="false">
      <c r="A177" s="15"/>
      <c r="B177" s="16"/>
      <c r="C177" s="16"/>
      <c r="D177" s="16"/>
      <c r="E177" s="16"/>
      <c r="F177" s="17"/>
      <c r="G177" s="16"/>
      <c r="H177" s="8" t="str">
        <f aca="false">IF(A177="","",INDEX(Lista_Meses,MONTH(A177)))</f>
        <v/>
      </c>
      <c r="I177" s="8" t="str">
        <f aca="false">IF(A177="","",YEAR(A177))</f>
        <v/>
      </c>
      <c r="J177" s="16"/>
    </row>
    <row r="178" customFormat="false" ht="15" hidden="false" customHeight="false" outlineLevel="0" collapsed="false">
      <c r="A178" s="15"/>
      <c r="B178" s="16"/>
      <c r="C178" s="16"/>
      <c r="D178" s="16"/>
      <c r="E178" s="16"/>
      <c r="F178" s="17"/>
      <c r="G178" s="16"/>
      <c r="H178" s="8" t="str">
        <f aca="false">IF(A178="","",INDEX(Lista_Meses,MONTH(A178)))</f>
        <v/>
      </c>
      <c r="I178" s="8" t="str">
        <f aca="false">IF(A178="","",YEAR(A178))</f>
        <v/>
      </c>
      <c r="J178" s="16"/>
    </row>
    <row r="179" customFormat="false" ht="15" hidden="false" customHeight="false" outlineLevel="0" collapsed="false">
      <c r="A179" s="15"/>
      <c r="B179" s="16"/>
      <c r="C179" s="16"/>
      <c r="D179" s="16"/>
      <c r="E179" s="16"/>
      <c r="F179" s="17"/>
      <c r="G179" s="16"/>
      <c r="H179" s="8" t="str">
        <f aca="false">IF(A179="","",INDEX(Lista_Meses,MONTH(A179)))</f>
        <v/>
      </c>
      <c r="I179" s="8" t="str">
        <f aca="false">IF(A179="","",YEAR(A179))</f>
        <v/>
      </c>
      <c r="J179" s="16"/>
    </row>
    <row r="180" customFormat="false" ht="15" hidden="false" customHeight="false" outlineLevel="0" collapsed="false">
      <c r="A180" s="15"/>
      <c r="B180" s="16"/>
      <c r="C180" s="16"/>
      <c r="D180" s="16"/>
      <c r="E180" s="16"/>
      <c r="F180" s="17"/>
      <c r="G180" s="16"/>
      <c r="H180" s="8" t="str">
        <f aca="false">IF(A180="","",INDEX(Lista_Meses,MONTH(A180)))</f>
        <v/>
      </c>
      <c r="I180" s="8" t="str">
        <f aca="false">IF(A180="","",YEAR(A180))</f>
        <v/>
      </c>
      <c r="J180" s="16"/>
    </row>
    <row r="181" customFormat="false" ht="15" hidden="false" customHeight="false" outlineLevel="0" collapsed="false">
      <c r="A181" s="15"/>
      <c r="B181" s="16"/>
      <c r="C181" s="16"/>
      <c r="D181" s="16"/>
      <c r="E181" s="16"/>
      <c r="F181" s="17"/>
      <c r="G181" s="16"/>
      <c r="H181" s="8" t="str">
        <f aca="false">IF(A181="","",INDEX(Lista_Meses,MONTH(A181)))</f>
        <v/>
      </c>
      <c r="I181" s="8" t="str">
        <f aca="false">IF(A181="","",YEAR(A181))</f>
        <v/>
      </c>
      <c r="J181" s="16"/>
    </row>
    <row r="182" customFormat="false" ht="15" hidden="false" customHeight="false" outlineLevel="0" collapsed="false">
      <c r="A182" s="15"/>
      <c r="B182" s="16"/>
      <c r="C182" s="16"/>
      <c r="D182" s="16"/>
      <c r="E182" s="16"/>
      <c r="F182" s="17"/>
      <c r="G182" s="16"/>
      <c r="H182" s="8" t="str">
        <f aca="false">IF(A182="","",INDEX(Lista_Meses,MONTH(A182)))</f>
        <v/>
      </c>
      <c r="I182" s="8" t="str">
        <f aca="false">IF(A182="","",YEAR(A182))</f>
        <v/>
      </c>
      <c r="J182" s="16"/>
    </row>
    <row r="183" customFormat="false" ht="15" hidden="false" customHeight="false" outlineLevel="0" collapsed="false">
      <c r="A183" s="15"/>
      <c r="B183" s="16"/>
      <c r="C183" s="16"/>
      <c r="D183" s="16"/>
      <c r="E183" s="16"/>
      <c r="F183" s="17"/>
      <c r="G183" s="16"/>
      <c r="H183" s="8" t="str">
        <f aca="false">IF(A183="","",INDEX(Lista_Meses,MONTH(A183)))</f>
        <v/>
      </c>
      <c r="I183" s="8" t="str">
        <f aca="false">IF(A183="","",YEAR(A183))</f>
        <v/>
      </c>
      <c r="J183" s="16"/>
    </row>
    <row r="184" customFormat="false" ht="15" hidden="false" customHeight="false" outlineLevel="0" collapsed="false">
      <c r="A184" s="15"/>
      <c r="B184" s="16"/>
      <c r="C184" s="16"/>
      <c r="D184" s="16"/>
      <c r="E184" s="16"/>
      <c r="F184" s="17"/>
      <c r="G184" s="16"/>
      <c r="H184" s="8" t="str">
        <f aca="false">IF(A184="","",INDEX(Lista_Meses,MONTH(A184)))</f>
        <v/>
      </c>
      <c r="I184" s="8" t="str">
        <f aca="false">IF(A184="","",YEAR(A184))</f>
        <v/>
      </c>
      <c r="J184" s="16"/>
    </row>
    <row r="185" customFormat="false" ht="15" hidden="false" customHeight="false" outlineLevel="0" collapsed="false">
      <c r="A185" s="15"/>
      <c r="B185" s="16"/>
      <c r="C185" s="16"/>
      <c r="D185" s="16"/>
      <c r="E185" s="16"/>
      <c r="F185" s="17"/>
      <c r="G185" s="16"/>
      <c r="H185" s="8" t="str">
        <f aca="false">IF(A185="","",INDEX(Lista_Meses,MONTH(A185)))</f>
        <v/>
      </c>
      <c r="I185" s="8" t="str">
        <f aca="false">IF(A185="","",YEAR(A185))</f>
        <v/>
      </c>
      <c r="J185" s="16"/>
    </row>
    <row r="186" customFormat="false" ht="15" hidden="false" customHeight="false" outlineLevel="0" collapsed="false">
      <c r="A186" s="15"/>
      <c r="B186" s="16"/>
      <c r="C186" s="16"/>
      <c r="D186" s="16"/>
      <c r="E186" s="16"/>
      <c r="F186" s="17"/>
      <c r="G186" s="16"/>
      <c r="H186" s="8" t="str">
        <f aca="false">IF(A186="","",INDEX(Lista_Meses,MONTH(A186)))</f>
        <v/>
      </c>
      <c r="I186" s="8" t="str">
        <f aca="false">IF(A186="","",YEAR(A186))</f>
        <v/>
      </c>
      <c r="J186" s="16"/>
    </row>
    <row r="187" customFormat="false" ht="15" hidden="false" customHeight="false" outlineLevel="0" collapsed="false">
      <c r="A187" s="15"/>
      <c r="B187" s="16"/>
      <c r="C187" s="16"/>
      <c r="D187" s="16"/>
      <c r="E187" s="16"/>
      <c r="F187" s="17"/>
      <c r="G187" s="16"/>
      <c r="H187" s="8" t="str">
        <f aca="false">IF(A187="","",INDEX(Lista_Meses,MONTH(A187)))</f>
        <v/>
      </c>
      <c r="I187" s="8" t="str">
        <f aca="false">IF(A187="","",YEAR(A187))</f>
        <v/>
      </c>
      <c r="J187" s="16"/>
    </row>
    <row r="188" customFormat="false" ht="15" hidden="false" customHeight="false" outlineLevel="0" collapsed="false">
      <c r="A188" s="15"/>
      <c r="B188" s="16"/>
      <c r="C188" s="16"/>
      <c r="D188" s="16"/>
      <c r="E188" s="16"/>
      <c r="F188" s="17"/>
      <c r="G188" s="16"/>
      <c r="H188" s="8" t="str">
        <f aca="false">IF(A188="","",INDEX(Lista_Meses,MONTH(A188)))</f>
        <v/>
      </c>
      <c r="I188" s="8" t="str">
        <f aca="false">IF(A188="","",YEAR(A188))</f>
        <v/>
      </c>
      <c r="J188" s="16"/>
    </row>
    <row r="189" customFormat="false" ht="15" hidden="false" customHeight="false" outlineLevel="0" collapsed="false">
      <c r="A189" s="15"/>
      <c r="B189" s="16"/>
      <c r="C189" s="16"/>
      <c r="D189" s="16"/>
      <c r="E189" s="16"/>
      <c r="F189" s="17"/>
      <c r="G189" s="16"/>
      <c r="H189" s="8" t="str">
        <f aca="false">IF(A189="","",INDEX(Lista_Meses,MONTH(A189)))</f>
        <v/>
      </c>
      <c r="I189" s="8" t="str">
        <f aca="false">IF(A189="","",YEAR(A189))</f>
        <v/>
      </c>
      <c r="J189" s="16"/>
    </row>
    <row r="190" customFormat="false" ht="15" hidden="false" customHeight="false" outlineLevel="0" collapsed="false">
      <c r="A190" s="15"/>
      <c r="B190" s="16"/>
      <c r="C190" s="16"/>
      <c r="D190" s="16"/>
      <c r="E190" s="16"/>
      <c r="F190" s="17"/>
      <c r="G190" s="16"/>
      <c r="H190" s="8" t="str">
        <f aca="false">IF(A190="","",INDEX(Lista_Meses,MONTH(A190)))</f>
        <v/>
      </c>
      <c r="I190" s="8" t="str">
        <f aca="false">IF(A190="","",YEAR(A190))</f>
        <v/>
      </c>
      <c r="J190" s="16"/>
    </row>
    <row r="191" customFormat="false" ht="15" hidden="false" customHeight="false" outlineLevel="0" collapsed="false">
      <c r="A191" s="15"/>
      <c r="B191" s="16"/>
      <c r="C191" s="16"/>
      <c r="D191" s="16"/>
      <c r="E191" s="16"/>
      <c r="F191" s="17"/>
      <c r="G191" s="16"/>
      <c r="H191" s="8" t="str">
        <f aca="false">IF(A191="","",INDEX(Lista_Meses,MONTH(A191)))</f>
        <v/>
      </c>
      <c r="I191" s="8" t="str">
        <f aca="false">IF(A191="","",YEAR(A191))</f>
        <v/>
      </c>
      <c r="J191" s="16"/>
    </row>
    <row r="192" customFormat="false" ht="15" hidden="false" customHeight="false" outlineLevel="0" collapsed="false">
      <c r="A192" s="15"/>
      <c r="B192" s="16"/>
      <c r="C192" s="16"/>
      <c r="D192" s="16"/>
      <c r="E192" s="16"/>
      <c r="F192" s="17"/>
      <c r="G192" s="16"/>
      <c r="H192" s="8" t="str">
        <f aca="false">IF(A192="","",INDEX(Lista_Meses,MONTH(A192)))</f>
        <v/>
      </c>
      <c r="I192" s="8" t="str">
        <f aca="false">IF(A192="","",YEAR(A192))</f>
        <v/>
      </c>
      <c r="J192" s="16"/>
    </row>
    <row r="193" customFormat="false" ht="15" hidden="false" customHeight="false" outlineLevel="0" collapsed="false">
      <c r="A193" s="15"/>
      <c r="B193" s="16"/>
      <c r="C193" s="16"/>
      <c r="D193" s="16"/>
      <c r="E193" s="16"/>
      <c r="F193" s="17"/>
      <c r="G193" s="16"/>
      <c r="H193" s="8" t="str">
        <f aca="false">IF(A193="","",INDEX(Lista_Meses,MONTH(A193)))</f>
        <v/>
      </c>
      <c r="I193" s="8" t="str">
        <f aca="false">IF(A193="","",YEAR(A193))</f>
        <v/>
      </c>
      <c r="J193" s="16"/>
    </row>
    <row r="194" customFormat="false" ht="15" hidden="false" customHeight="false" outlineLevel="0" collapsed="false">
      <c r="A194" s="15"/>
      <c r="B194" s="16"/>
      <c r="C194" s="16"/>
      <c r="D194" s="16"/>
      <c r="E194" s="16"/>
      <c r="F194" s="17"/>
      <c r="G194" s="16"/>
      <c r="H194" s="8" t="str">
        <f aca="false">IF(A194="","",INDEX(Lista_Meses,MONTH(A194)))</f>
        <v/>
      </c>
      <c r="I194" s="8" t="str">
        <f aca="false">IF(A194="","",YEAR(A194))</f>
        <v/>
      </c>
      <c r="J194" s="16"/>
    </row>
    <row r="195" customFormat="false" ht="15" hidden="false" customHeight="false" outlineLevel="0" collapsed="false">
      <c r="A195" s="15"/>
      <c r="B195" s="16"/>
      <c r="C195" s="16"/>
      <c r="D195" s="16"/>
      <c r="E195" s="16"/>
      <c r="F195" s="17"/>
      <c r="G195" s="16"/>
      <c r="H195" s="8" t="str">
        <f aca="false">IF(A195="","",INDEX(Lista_Meses,MONTH(A195)))</f>
        <v/>
      </c>
      <c r="I195" s="8" t="str">
        <f aca="false">IF(A195="","",YEAR(A195))</f>
        <v/>
      </c>
      <c r="J195" s="16"/>
    </row>
    <row r="196" customFormat="false" ht="15" hidden="false" customHeight="false" outlineLevel="0" collapsed="false">
      <c r="A196" s="15"/>
      <c r="B196" s="16"/>
      <c r="C196" s="16"/>
      <c r="D196" s="16"/>
      <c r="E196" s="16"/>
      <c r="F196" s="17"/>
      <c r="G196" s="16"/>
      <c r="H196" s="8" t="str">
        <f aca="false">IF(A196="","",INDEX(Lista_Meses,MONTH(A196)))</f>
        <v/>
      </c>
      <c r="I196" s="8" t="str">
        <f aca="false">IF(A196="","",YEAR(A196))</f>
        <v/>
      </c>
      <c r="J196" s="16"/>
    </row>
    <row r="197" customFormat="false" ht="15" hidden="false" customHeight="false" outlineLevel="0" collapsed="false">
      <c r="A197" s="15"/>
      <c r="B197" s="16"/>
      <c r="C197" s="16"/>
      <c r="D197" s="16"/>
      <c r="E197" s="16"/>
      <c r="F197" s="17"/>
      <c r="G197" s="16"/>
      <c r="H197" s="8" t="str">
        <f aca="false">IF(A197="","",INDEX(Lista_Meses,MONTH(A197)))</f>
        <v/>
      </c>
      <c r="I197" s="8" t="str">
        <f aca="false">IF(A197="","",YEAR(A197))</f>
        <v/>
      </c>
      <c r="J197" s="16"/>
    </row>
    <row r="198" customFormat="false" ht="15" hidden="false" customHeight="false" outlineLevel="0" collapsed="false">
      <c r="A198" s="15"/>
      <c r="B198" s="16"/>
      <c r="C198" s="16"/>
      <c r="D198" s="16"/>
      <c r="E198" s="16"/>
      <c r="F198" s="17"/>
      <c r="G198" s="16"/>
      <c r="H198" s="8" t="str">
        <f aca="false">IF(A198="","",INDEX(Lista_Meses,MONTH(A198)))</f>
        <v/>
      </c>
      <c r="I198" s="8" t="str">
        <f aca="false">IF(A198="","",YEAR(A198))</f>
        <v/>
      </c>
      <c r="J198" s="16"/>
    </row>
    <row r="199" customFormat="false" ht="15" hidden="false" customHeight="false" outlineLevel="0" collapsed="false">
      <c r="A199" s="15"/>
      <c r="B199" s="16"/>
      <c r="C199" s="16"/>
      <c r="D199" s="16"/>
      <c r="E199" s="16"/>
      <c r="F199" s="17"/>
      <c r="G199" s="16"/>
      <c r="H199" s="8" t="str">
        <f aca="false">IF(A199="","",INDEX(Lista_Meses,MONTH(A199)))</f>
        <v/>
      </c>
      <c r="I199" s="8" t="str">
        <f aca="false">IF(A199="","",YEAR(A199))</f>
        <v/>
      </c>
      <c r="J199" s="16"/>
    </row>
    <row r="200" customFormat="false" ht="15" hidden="false" customHeight="false" outlineLevel="0" collapsed="false">
      <c r="A200" s="15"/>
      <c r="B200" s="16"/>
      <c r="C200" s="16"/>
      <c r="D200" s="16"/>
      <c r="E200" s="16"/>
      <c r="F200" s="17"/>
      <c r="G200" s="16"/>
      <c r="H200" s="8" t="str">
        <f aca="false">IF(A200="","",INDEX(Lista_Meses,MONTH(A200)))</f>
        <v/>
      </c>
      <c r="I200" s="8" t="str">
        <f aca="false">IF(A200="","",YEAR(A200))</f>
        <v/>
      </c>
      <c r="J200" s="16"/>
    </row>
    <row r="201" customFormat="false" ht="15" hidden="false" customHeight="false" outlineLevel="0" collapsed="false">
      <c r="A201" s="15"/>
      <c r="B201" s="16"/>
      <c r="C201" s="16"/>
      <c r="D201" s="16"/>
      <c r="E201" s="16"/>
      <c r="F201" s="17"/>
      <c r="G201" s="16"/>
      <c r="H201" s="8" t="str">
        <f aca="false">IF(A201="","",INDEX(Lista_Meses,MONTH(A201)))</f>
        <v/>
      </c>
      <c r="I201" s="8" t="str">
        <f aca="false">IF(A201="","",YEAR(A201))</f>
        <v/>
      </c>
      <c r="J201" s="16"/>
    </row>
    <row r="202" customFormat="false" ht="15" hidden="false" customHeight="false" outlineLevel="0" collapsed="false">
      <c r="A202" s="15"/>
      <c r="B202" s="16"/>
      <c r="C202" s="16"/>
      <c r="D202" s="16"/>
      <c r="E202" s="16"/>
      <c r="F202" s="17"/>
      <c r="G202" s="16"/>
      <c r="H202" s="8" t="str">
        <f aca="false">IF(A202="","",INDEX(Lista_Meses,MONTH(A202)))</f>
        <v/>
      </c>
      <c r="I202" s="8" t="str">
        <f aca="false">IF(A202="","",YEAR(A202))</f>
        <v/>
      </c>
      <c r="J202" s="16"/>
    </row>
    <row r="203" customFormat="false" ht="15" hidden="false" customHeight="false" outlineLevel="0" collapsed="false">
      <c r="A203" s="15"/>
      <c r="B203" s="16"/>
      <c r="C203" s="16"/>
      <c r="D203" s="16"/>
      <c r="E203" s="16"/>
      <c r="F203" s="17"/>
      <c r="G203" s="16"/>
      <c r="H203" s="8" t="str">
        <f aca="false">IF(A203="","",INDEX(Lista_Meses,MONTH(A203)))</f>
        <v/>
      </c>
      <c r="I203" s="8" t="str">
        <f aca="false">IF(A203="","",YEAR(A203))</f>
        <v/>
      </c>
      <c r="J203" s="16"/>
    </row>
    <row r="204" customFormat="false" ht="15" hidden="false" customHeight="false" outlineLevel="0" collapsed="false">
      <c r="A204" s="15"/>
      <c r="B204" s="16"/>
      <c r="C204" s="16"/>
      <c r="D204" s="16"/>
      <c r="E204" s="16"/>
      <c r="F204" s="17"/>
      <c r="G204" s="16"/>
      <c r="H204" s="8" t="str">
        <f aca="false">IF(A204="","",INDEX(Lista_Meses,MONTH(A204)))</f>
        <v/>
      </c>
      <c r="I204" s="8" t="str">
        <f aca="false">IF(A204="","",YEAR(A204))</f>
        <v/>
      </c>
      <c r="J204" s="16"/>
    </row>
    <row r="205" customFormat="false" ht="15" hidden="false" customHeight="false" outlineLevel="0" collapsed="false">
      <c r="A205" s="15"/>
      <c r="B205" s="16"/>
      <c r="C205" s="16"/>
      <c r="D205" s="16"/>
      <c r="E205" s="16"/>
      <c r="F205" s="17"/>
      <c r="G205" s="16"/>
      <c r="H205" s="8" t="str">
        <f aca="false">IF(A205="","",INDEX(Lista_Meses,MONTH(A205)))</f>
        <v/>
      </c>
      <c r="I205" s="8" t="str">
        <f aca="false">IF(A205="","",YEAR(A205))</f>
        <v/>
      </c>
      <c r="J205" s="16"/>
    </row>
    <row r="206" customFormat="false" ht="15" hidden="false" customHeight="false" outlineLevel="0" collapsed="false">
      <c r="A206" s="15"/>
      <c r="B206" s="16"/>
      <c r="C206" s="16"/>
      <c r="D206" s="16"/>
      <c r="E206" s="16"/>
      <c r="F206" s="17"/>
      <c r="G206" s="16"/>
      <c r="H206" s="8" t="str">
        <f aca="false">IF(A206="","",INDEX(Lista_Meses,MONTH(A206)))</f>
        <v/>
      </c>
      <c r="I206" s="8" t="str">
        <f aca="false">IF(A206="","",YEAR(A206))</f>
        <v/>
      </c>
      <c r="J206" s="16"/>
    </row>
    <row r="207" customFormat="false" ht="15" hidden="false" customHeight="false" outlineLevel="0" collapsed="false">
      <c r="A207" s="15"/>
      <c r="B207" s="16"/>
      <c r="C207" s="16"/>
      <c r="D207" s="16"/>
      <c r="E207" s="16"/>
      <c r="F207" s="17"/>
      <c r="G207" s="16"/>
      <c r="H207" s="8" t="str">
        <f aca="false">IF(A207="","",INDEX(Lista_Meses,MONTH(A207)))</f>
        <v/>
      </c>
      <c r="I207" s="8" t="str">
        <f aca="false">IF(A207="","",YEAR(A207))</f>
        <v/>
      </c>
      <c r="J207" s="16"/>
    </row>
    <row r="208" customFormat="false" ht="15" hidden="false" customHeight="false" outlineLevel="0" collapsed="false">
      <c r="A208" s="15"/>
      <c r="B208" s="16"/>
      <c r="C208" s="16"/>
      <c r="D208" s="16"/>
      <c r="E208" s="16"/>
      <c r="F208" s="17"/>
      <c r="G208" s="16"/>
      <c r="H208" s="8" t="str">
        <f aca="false">IF(A208="","",INDEX(Lista_Meses,MONTH(A208)))</f>
        <v/>
      </c>
      <c r="I208" s="8" t="str">
        <f aca="false">IF(A208="","",YEAR(A208))</f>
        <v/>
      </c>
      <c r="J208" s="16"/>
    </row>
    <row r="209" customFormat="false" ht="15" hidden="false" customHeight="false" outlineLevel="0" collapsed="false">
      <c r="A209" s="15"/>
      <c r="B209" s="16"/>
      <c r="C209" s="16"/>
      <c r="D209" s="16"/>
      <c r="E209" s="16"/>
      <c r="F209" s="17"/>
      <c r="G209" s="16"/>
      <c r="H209" s="8" t="str">
        <f aca="false">IF(A209="","",INDEX(Lista_Meses,MONTH(A209)))</f>
        <v/>
      </c>
      <c r="I209" s="8" t="str">
        <f aca="false">IF(A209="","",YEAR(A209))</f>
        <v/>
      </c>
      <c r="J209" s="16"/>
    </row>
    <row r="210" customFormat="false" ht="15" hidden="false" customHeight="false" outlineLevel="0" collapsed="false">
      <c r="A210" s="15"/>
      <c r="B210" s="16"/>
      <c r="C210" s="16"/>
      <c r="D210" s="16"/>
      <c r="E210" s="16"/>
      <c r="F210" s="17"/>
      <c r="G210" s="16"/>
      <c r="H210" s="8" t="str">
        <f aca="false">IF(A210="","",INDEX(Lista_Meses,MONTH(A210)))</f>
        <v/>
      </c>
      <c r="I210" s="8" t="str">
        <f aca="false">IF(A210="","",YEAR(A210))</f>
        <v/>
      </c>
      <c r="J210" s="16"/>
    </row>
    <row r="211" customFormat="false" ht="15" hidden="false" customHeight="false" outlineLevel="0" collapsed="false">
      <c r="A211" s="15"/>
      <c r="B211" s="16"/>
      <c r="C211" s="16"/>
      <c r="D211" s="16"/>
      <c r="E211" s="16"/>
      <c r="F211" s="17"/>
      <c r="G211" s="16"/>
      <c r="H211" s="8" t="str">
        <f aca="false">IF(A211="","",INDEX(Lista_Meses,MONTH(A211)))</f>
        <v/>
      </c>
      <c r="I211" s="8" t="str">
        <f aca="false">IF(A211="","",YEAR(A211))</f>
        <v/>
      </c>
      <c r="J211" s="16"/>
    </row>
    <row r="212" customFormat="false" ht="15" hidden="false" customHeight="false" outlineLevel="0" collapsed="false">
      <c r="A212" s="15"/>
      <c r="B212" s="16"/>
      <c r="C212" s="16"/>
      <c r="D212" s="16"/>
      <c r="E212" s="16"/>
      <c r="F212" s="17"/>
      <c r="G212" s="16"/>
      <c r="H212" s="8" t="str">
        <f aca="false">IF(A212="","",INDEX(Lista_Meses,MONTH(A212)))</f>
        <v/>
      </c>
      <c r="I212" s="8" t="str">
        <f aca="false">IF(A212="","",YEAR(A212))</f>
        <v/>
      </c>
      <c r="J212" s="16"/>
    </row>
    <row r="213" customFormat="false" ht="15" hidden="false" customHeight="false" outlineLevel="0" collapsed="false">
      <c r="A213" s="15"/>
      <c r="B213" s="16"/>
      <c r="C213" s="16"/>
      <c r="D213" s="16"/>
      <c r="E213" s="16"/>
      <c r="F213" s="17"/>
      <c r="G213" s="16"/>
      <c r="H213" s="8" t="str">
        <f aca="false">IF(A213="","",INDEX(Lista_Meses,MONTH(A213)))</f>
        <v/>
      </c>
      <c r="I213" s="8" t="str">
        <f aca="false">IF(A213="","",YEAR(A213))</f>
        <v/>
      </c>
      <c r="J213" s="16"/>
    </row>
    <row r="214" customFormat="false" ht="15" hidden="false" customHeight="false" outlineLevel="0" collapsed="false">
      <c r="A214" s="15"/>
      <c r="B214" s="16"/>
      <c r="C214" s="16"/>
      <c r="D214" s="16"/>
      <c r="E214" s="16"/>
      <c r="F214" s="17"/>
      <c r="G214" s="16"/>
      <c r="H214" s="8" t="str">
        <f aca="false">IF(A214="","",INDEX(Lista_Meses,MONTH(A214)))</f>
        <v/>
      </c>
      <c r="I214" s="8" t="str">
        <f aca="false">IF(A214="","",YEAR(A214))</f>
        <v/>
      </c>
      <c r="J214" s="16"/>
    </row>
    <row r="215" customFormat="false" ht="15" hidden="false" customHeight="false" outlineLevel="0" collapsed="false">
      <c r="A215" s="15"/>
      <c r="B215" s="16"/>
      <c r="C215" s="16"/>
      <c r="D215" s="16"/>
      <c r="E215" s="16"/>
      <c r="F215" s="17"/>
      <c r="G215" s="16"/>
      <c r="H215" s="8" t="str">
        <f aca="false">IF(A215="","",INDEX(Lista_Meses,MONTH(A215)))</f>
        <v/>
      </c>
      <c r="I215" s="8" t="str">
        <f aca="false">IF(A215="","",YEAR(A215))</f>
        <v/>
      </c>
      <c r="J215" s="16"/>
    </row>
    <row r="216" customFormat="false" ht="15" hidden="false" customHeight="false" outlineLevel="0" collapsed="false">
      <c r="A216" s="15"/>
      <c r="B216" s="16"/>
      <c r="C216" s="16"/>
      <c r="D216" s="16"/>
      <c r="E216" s="16"/>
      <c r="F216" s="17"/>
      <c r="G216" s="16"/>
      <c r="H216" s="8" t="str">
        <f aca="false">IF(A216="","",INDEX(Lista_Meses,MONTH(A216)))</f>
        <v/>
      </c>
      <c r="I216" s="8" t="str">
        <f aca="false">IF(A216="","",YEAR(A216))</f>
        <v/>
      </c>
      <c r="J216" s="16"/>
    </row>
    <row r="217" customFormat="false" ht="15" hidden="false" customHeight="false" outlineLevel="0" collapsed="false">
      <c r="A217" s="15"/>
      <c r="B217" s="16"/>
      <c r="C217" s="16"/>
      <c r="D217" s="16"/>
      <c r="E217" s="16"/>
      <c r="F217" s="17"/>
      <c r="G217" s="16"/>
      <c r="H217" s="8" t="str">
        <f aca="false">IF(A217="","",INDEX(Lista_Meses,MONTH(A217)))</f>
        <v/>
      </c>
      <c r="I217" s="8" t="str">
        <f aca="false">IF(A217="","",YEAR(A217))</f>
        <v/>
      </c>
      <c r="J217" s="16"/>
    </row>
    <row r="218" customFormat="false" ht="15" hidden="false" customHeight="false" outlineLevel="0" collapsed="false">
      <c r="A218" s="15"/>
      <c r="B218" s="16"/>
      <c r="C218" s="16"/>
      <c r="D218" s="16"/>
      <c r="E218" s="16"/>
      <c r="F218" s="17"/>
      <c r="G218" s="16"/>
      <c r="H218" s="8" t="str">
        <f aca="false">IF(A218="","",INDEX(Lista_Meses,MONTH(A218)))</f>
        <v/>
      </c>
      <c r="I218" s="8" t="str">
        <f aca="false">IF(A218="","",YEAR(A218))</f>
        <v/>
      </c>
      <c r="J218" s="16"/>
    </row>
    <row r="219" customFormat="false" ht="15" hidden="false" customHeight="false" outlineLevel="0" collapsed="false">
      <c r="A219" s="15"/>
      <c r="B219" s="16"/>
      <c r="C219" s="16"/>
      <c r="D219" s="16"/>
      <c r="E219" s="16"/>
      <c r="F219" s="17"/>
      <c r="G219" s="16"/>
      <c r="H219" s="8" t="str">
        <f aca="false">IF(A219="","",INDEX(Lista_Meses,MONTH(A219)))</f>
        <v/>
      </c>
      <c r="I219" s="8" t="str">
        <f aca="false">IF(A219="","",YEAR(A219))</f>
        <v/>
      </c>
      <c r="J219" s="16"/>
    </row>
    <row r="220" customFormat="false" ht="15" hidden="false" customHeight="false" outlineLevel="0" collapsed="false">
      <c r="A220" s="15"/>
      <c r="B220" s="16"/>
      <c r="C220" s="16"/>
      <c r="D220" s="16"/>
      <c r="E220" s="16"/>
      <c r="F220" s="17"/>
      <c r="G220" s="16"/>
      <c r="H220" s="8" t="str">
        <f aca="false">IF(A220="","",INDEX(Lista_Meses,MONTH(A220)))</f>
        <v/>
      </c>
      <c r="I220" s="8" t="str">
        <f aca="false">IF(A220="","",YEAR(A220))</f>
        <v/>
      </c>
      <c r="J220" s="16"/>
    </row>
    <row r="221" customFormat="false" ht="15" hidden="false" customHeight="false" outlineLevel="0" collapsed="false">
      <c r="A221" s="15"/>
      <c r="B221" s="16"/>
      <c r="C221" s="16"/>
      <c r="D221" s="16"/>
      <c r="E221" s="16"/>
      <c r="F221" s="17"/>
      <c r="G221" s="16"/>
      <c r="H221" s="8" t="str">
        <f aca="false">IF(A221="","",INDEX(Lista_Meses,MONTH(A221)))</f>
        <v/>
      </c>
      <c r="I221" s="8" t="str">
        <f aca="false">IF(A221="","",YEAR(A221))</f>
        <v/>
      </c>
      <c r="J221" s="16"/>
    </row>
    <row r="222" customFormat="false" ht="15" hidden="false" customHeight="false" outlineLevel="0" collapsed="false">
      <c r="A222" s="15"/>
      <c r="B222" s="16"/>
      <c r="C222" s="16"/>
      <c r="D222" s="16"/>
      <c r="E222" s="16"/>
      <c r="F222" s="17"/>
      <c r="G222" s="16"/>
      <c r="H222" s="8" t="str">
        <f aca="false">IF(A222="","",INDEX(Lista_Meses,MONTH(A222)))</f>
        <v/>
      </c>
      <c r="I222" s="8" t="str">
        <f aca="false">IF(A222="","",YEAR(A222))</f>
        <v/>
      </c>
      <c r="J222" s="16"/>
    </row>
    <row r="223" customFormat="false" ht="15" hidden="false" customHeight="false" outlineLevel="0" collapsed="false">
      <c r="A223" s="15"/>
      <c r="B223" s="16"/>
      <c r="C223" s="16"/>
      <c r="D223" s="16"/>
      <c r="E223" s="16"/>
      <c r="F223" s="17"/>
      <c r="G223" s="16"/>
      <c r="H223" s="8" t="str">
        <f aca="false">IF(A223="","",INDEX(Lista_Meses,MONTH(A223)))</f>
        <v/>
      </c>
      <c r="I223" s="8" t="str">
        <f aca="false">IF(A223="","",YEAR(A223))</f>
        <v/>
      </c>
      <c r="J223" s="16"/>
    </row>
    <row r="224" customFormat="false" ht="15" hidden="false" customHeight="false" outlineLevel="0" collapsed="false">
      <c r="A224" s="15"/>
      <c r="B224" s="16"/>
      <c r="C224" s="16"/>
      <c r="D224" s="16"/>
      <c r="E224" s="16"/>
      <c r="F224" s="17"/>
      <c r="G224" s="16"/>
      <c r="H224" s="8" t="str">
        <f aca="false">IF(A224="","",INDEX(Lista_Meses,MONTH(A224)))</f>
        <v/>
      </c>
      <c r="I224" s="8" t="str">
        <f aca="false">IF(A224="","",YEAR(A224))</f>
        <v/>
      </c>
      <c r="J224" s="16"/>
    </row>
    <row r="225" customFormat="false" ht="15" hidden="false" customHeight="false" outlineLevel="0" collapsed="false">
      <c r="A225" s="15"/>
      <c r="B225" s="16"/>
      <c r="C225" s="16"/>
      <c r="D225" s="16"/>
      <c r="E225" s="16"/>
      <c r="F225" s="17"/>
      <c r="G225" s="16"/>
      <c r="H225" s="8" t="str">
        <f aca="false">IF(A225="","",INDEX(Lista_Meses,MONTH(A225)))</f>
        <v/>
      </c>
      <c r="I225" s="8" t="str">
        <f aca="false">IF(A225="","",YEAR(A225))</f>
        <v/>
      </c>
      <c r="J225" s="16"/>
    </row>
    <row r="226" customFormat="false" ht="15" hidden="false" customHeight="false" outlineLevel="0" collapsed="false">
      <c r="A226" s="15"/>
      <c r="B226" s="16"/>
      <c r="C226" s="16"/>
      <c r="D226" s="16"/>
      <c r="E226" s="16"/>
      <c r="F226" s="17"/>
      <c r="G226" s="16"/>
      <c r="H226" s="8" t="str">
        <f aca="false">IF(A226="","",INDEX(Lista_Meses,MONTH(A226)))</f>
        <v/>
      </c>
      <c r="I226" s="8" t="str">
        <f aca="false">IF(A226="","",YEAR(A226))</f>
        <v/>
      </c>
      <c r="J226" s="16"/>
    </row>
    <row r="227" customFormat="false" ht="15" hidden="false" customHeight="false" outlineLevel="0" collapsed="false">
      <c r="A227" s="15"/>
      <c r="B227" s="16"/>
      <c r="C227" s="16"/>
      <c r="D227" s="16"/>
      <c r="E227" s="16"/>
      <c r="F227" s="17"/>
      <c r="G227" s="16"/>
      <c r="H227" s="8" t="str">
        <f aca="false">IF(A227="","",INDEX(Lista_Meses,MONTH(A227)))</f>
        <v/>
      </c>
      <c r="I227" s="8" t="str">
        <f aca="false">IF(A227="","",YEAR(A227))</f>
        <v/>
      </c>
      <c r="J227" s="16"/>
    </row>
    <row r="228" customFormat="false" ht="15" hidden="false" customHeight="false" outlineLevel="0" collapsed="false">
      <c r="A228" s="15"/>
      <c r="B228" s="16"/>
      <c r="C228" s="16"/>
      <c r="D228" s="16"/>
      <c r="E228" s="16"/>
      <c r="F228" s="17"/>
      <c r="G228" s="16"/>
      <c r="H228" s="8" t="str">
        <f aca="false">IF(A228="","",INDEX(Lista_Meses,MONTH(A228)))</f>
        <v/>
      </c>
      <c r="I228" s="8" t="str">
        <f aca="false">IF(A228="","",YEAR(A228))</f>
        <v/>
      </c>
      <c r="J228" s="16"/>
    </row>
    <row r="229" customFormat="false" ht="15" hidden="false" customHeight="false" outlineLevel="0" collapsed="false">
      <c r="A229" s="15"/>
      <c r="B229" s="16"/>
      <c r="C229" s="16"/>
      <c r="D229" s="16"/>
      <c r="E229" s="16"/>
      <c r="F229" s="17"/>
      <c r="G229" s="16"/>
      <c r="H229" s="8" t="str">
        <f aca="false">IF(A229="","",INDEX(Lista_Meses,MONTH(A229)))</f>
        <v/>
      </c>
      <c r="I229" s="8" t="str">
        <f aca="false">IF(A229="","",YEAR(A229))</f>
        <v/>
      </c>
      <c r="J229" s="16"/>
    </row>
    <row r="230" customFormat="false" ht="15" hidden="false" customHeight="false" outlineLevel="0" collapsed="false">
      <c r="A230" s="15"/>
      <c r="B230" s="16"/>
      <c r="C230" s="16"/>
      <c r="D230" s="16"/>
      <c r="E230" s="16"/>
      <c r="F230" s="17"/>
      <c r="G230" s="16"/>
      <c r="H230" s="8" t="str">
        <f aca="false">IF(A230="","",INDEX(Lista_Meses,MONTH(A230)))</f>
        <v/>
      </c>
      <c r="I230" s="8" t="str">
        <f aca="false">IF(A230="","",YEAR(A230))</f>
        <v/>
      </c>
      <c r="J230" s="16"/>
    </row>
    <row r="231" customFormat="false" ht="15" hidden="false" customHeight="false" outlineLevel="0" collapsed="false">
      <c r="A231" s="15"/>
      <c r="B231" s="16"/>
      <c r="C231" s="16"/>
      <c r="D231" s="16"/>
      <c r="E231" s="16"/>
      <c r="F231" s="17"/>
      <c r="G231" s="16"/>
      <c r="H231" s="8" t="str">
        <f aca="false">IF(A231="","",INDEX(Lista_Meses,MONTH(A231)))</f>
        <v/>
      </c>
      <c r="I231" s="8" t="str">
        <f aca="false">IF(A231="","",YEAR(A231))</f>
        <v/>
      </c>
      <c r="J231" s="16"/>
    </row>
    <row r="232" customFormat="false" ht="15" hidden="false" customHeight="false" outlineLevel="0" collapsed="false">
      <c r="A232" s="15"/>
      <c r="B232" s="16"/>
      <c r="C232" s="16"/>
      <c r="D232" s="16"/>
      <c r="E232" s="16"/>
      <c r="F232" s="17"/>
      <c r="G232" s="16"/>
      <c r="H232" s="8" t="str">
        <f aca="false">IF(A232="","",INDEX(Lista_Meses,MONTH(A232)))</f>
        <v/>
      </c>
      <c r="I232" s="8" t="str">
        <f aca="false">IF(A232="","",YEAR(A232))</f>
        <v/>
      </c>
      <c r="J232" s="16"/>
    </row>
    <row r="233" customFormat="false" ht="15" hidden="false" customHeight="false" outlineLevel="0" collapsed="false">
      <c r="A233" s="15"/>
      <c r="B233" s="16"/>
      <c r="C233" s="16"/>
      <c r="D233" s="16"/>
      <c r="E233" s="16"/>
      <c r="F233" s="17"/>
      <c r="G233" s="16"/>
      <c r="H233" s="8" t="str">
        <f aca="false">IF(A233="","",INDEX(Lista_Meses,MONTH(A233)))</f>
        <v/>
      </c>
      <c r="I233" s="8" t="str">
        <f aca="false">IF(A233="","",YEAR(A233))</f>
        <v/>
      </c>
      <c r="J233" s="16"/>
    </row>
    <row r="234" customFormat="false" ht="15" hidden="false" customHeight="false" outlineLevel="0" collapsed="false">
      <c r="A234" s="15"/>
      <c r="B234" s="16"/>
      <c r="C234" s="16"/>
      <c r="D234" s="16"/>
      <c r="E234" s="16"/>
      <c r="F234" s="17"/>
      <c r="G234" s="16"/>
      <c r="H234" s="8" t="str">
        <f aca="false">IF(A234="","",INDEX(Lista_Meses,MONTH(A234)))</f>
        <v/>
      </c>
      <c r="I234" s="8" t="str">
        <f aca="false">IF(A234="","",YEAR(A234))</f>
        <v/>
      </c>
      <c r="J234" s="16"/>
    </row>
    <row r="235" customFormat="false" ht="15" hidden="false" customHeight="false" outlineLevel="0" collapsed="false">
      <c r="A235" s="15"/>
      <c r="B235" s="16"/>
      <c r="C235" s="16"/>
      <c r="D235" s="16"/>
      <c r="E235" s="16"/>
      <c r="F235" s="17"/>
      <c r="G235" s="16"/>
      <c r="H235" s="8" t="str">
        <f aca="false">IF(A235="","",INDEX(Lista_Meses,MONTH(A235)))</f>
        <v/>
      </c>
      <c r="I235" s="8" t="str">
        <f aca="false">IF(A235="","",YEAR(A235))</f>
        <v/>
      </c>
      <c r="J235" s="16"/>
    </row>
    <row r="236" customFormat="false" ht="15" hidden="false" customHeight="false" outlineLevel="0" collapsed="false">
      <c r="A236" s="15"/>
      <c r="B236" s="16"/>
      <c r="C236" s="16"/>
      <c r="D236" s="16"/>
      <c r="E236" s="16"/>
      <c r="F236" s="17"/>
      <c r="G236" s="16"/>
      <c r="H236" s="8" t="str">
        <f aca="false">IF(A236="","",INDEX(Lista_Meses,MONTH(A236)))</f>
        <v/>
      </c>
      <c r="I236" s="8" t="str">
        <f aca="false">IF(A236="","",YEAR(A236))</f>
        <v/>
      </c>
      <c r="J236" s="16"/>
    </row>
    <row r="237" customFormat="false" ht="15" hidden="false" customHeight="false" outlineLevel="0" collapsed="false">
      <c r="A237" s="15"/>
      <c r="B237" s="16"/>
      <c r="C237" s="16"/>
      <c r="D237" s="16"/>
      <c r="E237" s="16"/>
      <c r="F237" s="17"/>
      <c r="G237" s="16"/>
      <c r="H237" s="8" t="str">
        <f aca="false">IF(A237="","",INDEX(Lista_Meses,MONTH(A237)))</f>
        <v/>
      </c>
      <c r="I237" s="8" t="str">
        <f aca="false">IF(A237="","",YEAR(A237))</f>
        <v/>
      </c>
      <c r="J237" s="16"/>
    </row>
    <row r="238" customFormat="false" ht="15" hidden="false" customHeight="false" outlineLevel="0" collapsed="false">
      <c r="A238" s="15"/>
      <c r="B238" s="16"/>
      <c r="C238" s="16"/>
      <c r="D238" s="16"/>
      <c r="E238" s="16"/>
      <c r="F238" s="17"/>
      <c r="G238" s="16"/>
      <c r="H238" s="8" t="str">
        <f aca="false">IF(A238="","",INDEX(Lista_Meses,MONTH(A238)))</f>
        <v/>
      </c>
      <c r="I238" s="8" t="str">
        <f aca="false">IF(A238="","",YEAR(A238))</f>
        <v/>
      </c>
      <c r="J238" s="16"/>
    </row>
    <row r="239" customFormat="false" ht="15" hidden="false" customHeight="false" outlineLevel="0" collapsed="false">
      <c r="A239" s="15"/>
      <c r="B239" s="16"/>
      <c r="C239" s="16"/>
      <c r="D239" s="16"/>
      <c r="E239" s="16"/>
      <c r="F239" s="17"/>
      <c r="G239" s="16"/>
      <c r="H239" s="8" t="str">
        <f aca="false">IF(A239="","",INDEX(Lista_Meses,MONTH(A239)))</f>
        <v/>
      </c>
      <c r="I239" s="8" t="str">
        <f aca="false">IF(A239="","",YEAR(A239))</f>
        <v/>
      </c>
      <c r="J239" s="16"/>
    </row>
    <row r="240" customFormat="false" ht="15" hidden="false" customHeight="false" outlineLevel="0" collapsed="false">
      <c r="A240" s="15"/>
      <c r="B240" s="16"/>
      <c r="C240" s="16"/>
      <c r="D240" s="16"/>
      <c r="E240" s="16"/>
      <c r="F240" s="17"/>
      <c r="G240" s="16"/>
      <c r="H240" s="8" t="str">
        <f aca="false">IF(A240="","",INDEX(Lista_Meses,MONTH(A240)))</f>
        <v/>
      </c>
      <c r="I240" s="8" t="str">
        <f aca="false">IF(A240="","",YEAR(A240))</f>
        <v/>
      </c>
      <c r="J240" s="16"/>
    </row>
    <row r="241" customFormat="false" ht="15" hidden="false" customHeight="false" outlineLevel="0" collapsed="false">
      <c r="A241" s="15"/>
      <c r="B241" s="16"/>
      <c r="C241" s="16"/>
      <c r="D241" s="16"/>
      <c r="E241" s="16"/>
      <c r="F241" s="17"/>
      <c r="G241" s="16"/>
      <c r="H241" s="8" t="str">
        <f aca="false">IF(A241="","",INDEX(Lista_Meses,MONTH(A241)))</f>
        <v/>
      </c>
      <c r="I241" s="8" t="str">
        <f aca="false">IF(A241="","",YEAR(A241))</f>
        <v/>
      </c>
      <c r="J241" s="16"/>
    </row>
    <row r="242" customFormat="false" ht="15" hidden="false" customHeight="false" outlineLevel="0" collapsed="false">
      <c r="A242" s="15"/>
      <c r="B242" s="16"/>
      <c r="C242" s="16"/>
      <c r="D242" s="16"/>
      <c r="E242" s="16"/>
      <c r="F242" s="17"/>
      <c r="G242" s="16"/>
      <c r="H242" s="8" t="str">
        <f aca="false">IF(A242="","",INDEX(Lista_Meses,MONTH(A242)))</f>
        <v/>
      </c>
      <c r="I242" s="8" t="str">
        <f aca="false">IF(A242="","",YEAR(A242))</f>
        <v/>
      </c>
      <c r="J242" s="16"/>
    </row>
    <row r="243" customFormat="false" ht="15" hidden="false" customHeight="false" outlineLevel="0" collapsed="false">
      <c r="A243" s="15"/>
      <c r="B243" s="16"/>
      <c r="C243" s="16"/>
      <c r="D243" s="16"/>
      <c r="E243" s="16"/>
      <c r="F243" s="17"/>
      <c r="G243" s="16"/>
      <c r="H243" s="8" t="str">
        <f aca="false">IF(A243="","",INDEX(Lista_Meses,MONTH(A243)))</f>
        <v/>
      </c>
      <c r="I243" s="8" t="str">
        <f aca="false">IF(A243="","",YEAR(A243))</f>
        <v/>
      </c>
      <c r="J243" s="16"/>
    </row>
    <row r="244" customFormat="false" ht="15" hidden="false" customHeight="false" outlineLevel="0" collapsed="false">
      <c r="A244" s="15"/>
      <c r="B244" s="16"/>
      <c r="C244" s="16"/>
      <c r="D244" s="16"/>
      <c r="E244" s="16"/>
      <c r="F244" s="17"/>
      <c r="G244" s="16"/>
      <c r="H244" s="8" t="str">
        <f aca="false">IF(A244="","",INDEX(Lista_Meses,MONTH(A244)))</f>
        <v/>
      </c>
      <c r="I244" s="8" t="str">
        <f aca="false">IF(A244="","",YEAR(A244))</f>
        <v/>
      </c>
      <c r="J244" s="16"/>
    </row>
    <row r="245" customFormat="false" ht="15" hidden="false" customHeight="false" outlineLevel="0" collapsed="false">
      <c r="A245" s="15"/>
      <c r="B245" s="16"/>
      <c r="C245" s="16"/>
      <c r="D245" s="16"/>
      <c r="E245" s="16"/>
      <c r="F245" s="17"/>
      <c r="G245" s="16"/>
      <c r="H245" s="8" t="str">
        <f aca="false">IF(A245="","",INDEX(Lista_Meses,MONTH(A245)))</f>
        <v/>
      </c>
      <c r="I245" s="8" t="str">
        <f aca="false">IF(A245="","",YEAR(A245))</f>
        <v/>
      </c>
      <c r="J245" s="16"/>
    </row>
    <row r="246" customFormat="false" ht="15" hidden="false" customHeight="false" outlineLevel="0" collapsed="false">
      <c r="A246" s="15"/>
      <c r="B246" s="16"/>
      <c r="C246" s="16"/>
      <c r="D246" s="16"/>
      <c r="E246" s="16"/>
      <c r="F246" s="17"/>
      <c r="G246" s="16"/>
      <c r="H246" s="8" t="str">
        <f aca="false">IF(A246="","",INDEX(Lista_Meses,MONTH(A246)))</f>
        <v/>
      </c>
      <c r="I246" s="8" t="str">
        <f aca="false">IF(A246="","",YEAR(A246))</f>
        <v/>
      </c>
      <c r="J246" s="16"/>
    </row>
    <row r="247" customFormat="false" ht="15" hidden="false" customHeight="false" outlineLevel="0" collapsed="false">
      <c r="A247" s="15"/>
      <c r="B247" s="16"/>
      <c r="C247" s="16"/>
      <c r="D247" s="16"/>
      <c r="E247" s="16"/>
      <c r="F247" s="17"/>
      <c r="G247" s="16"/>
      <c r="H247" s="8" t="str">
        <f aca="false">IF(A247="","",INDEX(Lista_Meses,MONTH(A247)))</f>
        <v/>
      </c>
      <c r="I247" s="8" t="str">
        <f aca="false">IF(A247="","",YEAR(A247))</f>
        <v/>
      </c>
      <c r="J247" s="16"/>
    </row>
    <row r="248" customFormat="false" ht="15" hidden="false" customHeight="false" outlineLevel="0" collapsed="false">
      <c r="A248" s="15"/>
      <c r="B248" s="16"/>
      <c r="C248" s="16"/>
      <c r="D248" s="16"/>
      <c r="E248" s="16"/>
      <c r="F248" s="17"/>
      <c r="G248" s="16"/>
      <c r="H248" s="8" t="str">
        <f aca="false">IF(A248="","",INDEX(Lista_Meses,MONTH(A248)))</f>
        <v/>
      </c>
      <c r="I248" s="8" t="str">
        <f aca="false">IF(A248="","",YEAR(A248))</f>
        <v/>
      </c>
      <c r="J248" s="16"/>
    </row>
    <row r="249" customFormat="false" ht="15" hidden="false" customHeight="false" outlineLevel="0" collapsed="false">
      <c r="A249" s="15"/>
      <c r="B249" s="16"/>
      <c r="C249" s="16"/>
      <c r="D249" s="16"/>
      <c r="E249" s="16"/>
      <c r="F249" s="17"/>
      <c r="G249" s="16"/>
      <c r="H249" s="8" t="str">
        <f aca="false">IF(A249="","",INDEX(Lista_Meses,MONTH(A249)))</f>
        <v/>
      </c>
      <c r="I249" s="8" t="str">
        <f aca="false">IF(A249="","",YEAR(A249))</f>
        <v/>
      </c>
      <c r="J249" s="16"/>
    </row>
    <row r="250" customFormat="false" ht="15" hidden="false" customHeight="false" outlineLevel="0" collapsed="false">
      <c r="A250" s="15"/>
      <c r="B250" s="16"/>
      <c r="C250" s="16"/>
      <c r="D250" s="16"/>
      <c r="E250" s="16"/>
      <c r="F250" s="17"/>
      <c r="G250" s="16"/>
      <c r="H250" s="8" t="str">
        <f aca="false">IF(A250="","",INDEX(Lista_Meses,MONTH(A250)))</f>
        <v/>
      </c>
      <c r="I250" s="8" t="str">
        <f aca="false">IF(A250="","",YEAR(A250))</f>
        <v/>
      </c>
      <c r="J250" s="16"/>
    </row>
    <row r="251" customFormat="false" ht="15" hidden="false" customHeight="false" outlineLevel="0" collapsed="false">
      <c r="A251" s="15"/>
      <c r="B251" s="16"/>
      <c r="C251" s="16"/>
      <c r="D251" s="16"/>
      <c r="E251" s="16"/>
      <c r="F251" s="17"/>
      <c r="G251" s="16"/>
      <c r="H251" s="8" t="str">
        <f aca="false">IF(A251="","",INDEX(Lista_Meses,MONTH(A251)))</f>
        <v/>
      </c>
      <c r="I251" s="8" t="str">
        <f aca="false">IF(A251="","",YEAR(A251))</f>
        <v/>
      </c>
      <c r="J251" s="16"/>
    </row>
    <row r="252" customFormat="false" ht="15" hidden="false" customHeight="false" outlineLevel="0" collapsed="false">
      <c r="A252" s="15"/>
      <c r="B252" s="16"/>
      <c r="C252" s="16"/>
      <c r="D252" s="16"/>
      <c r="E252" s="16"/>
      <c r="F252" s="17"/>
      <c r="G252" s="16"/>
      <c r="H252" s="8" t="str">
        <f aca="false">IF(A252="","",INDEX(Lista_Meses,MONTH(A252)))</f>
        <v/>
      </c>
      <c r="I252" s="8" t="str">
        <f aca="false">IF(A252="","",YEAR(A252))</f>
        <v/>
      </c>
      <c r="J252" s="16"/>
    </row>
    <row r="253" customFormat="false" ht="15" hidden="false" customHeight="false" outlineLevel="0" collapsed="false">
      <c r="A253" s="15"/>
      <c r="B253" s="16"/>
      <c r="C253" s="16"/>
      <c r="D253" s="16"/>
      <c r="E253" s="16"/>
      <c r="F253" s="17"/>
      <c r="G253" s="16"/>
      <c r="H253" s="8" t="str">
        <f aca="false">IF(A253="","",INDEX(Lista_Meses,MONTH(A253)))</f>
        <v/>
      </c>
      <c r="I253" s="8" t="str">
        <f aca="false">IF(A253="","",YEAR(A253))</f>
        <v/>
      </c>
      <c r="J253" s="16"/>
    </row>
    <row r="254" customFormat="false" ht="15" hidden="false" customHeight="false" outlineLevel="0" collapsed="false">
      <c r="A254" s="15"/>
      <c r="B254" s="16"/>
      <c r="C254" s="16"/>
      <c r="D254" s="16"/>
      <c r="E254" s="16"/>
      <c r="F254" s="17"/>
      <c r="G254" s="16"/>
      <c r="H254" s="8" t="str">
        <f aca="false">IF(A254="","",INDEX(Lista_Meses,MONTH(A254)))</f>
        <v/>
      </c>
      <c r="I254" s="8" t="str">
        <f aca="false">IF(A254="","",YEAR(A254))</f>
        <v/>
      </c>
      <c r="J254" s="16"/>
    </row>
    <row r="255" customFormat="false" ht="15" hidden="false" customHeight="false" outlineLevel="0" collapsed="false">
      <c r="A255" s="15"/>
      <c r="B255" s="16"/>
      <c r="C255" s="16"/>
      <c r="D255" s="16"/>
      <c r="E255" s="16"/>
      <c r="F255" s="17"/>
      <c r="G255" s="16"/>
      <c r="H255" s="8" t="str">
        <f aca="false">IF(A255="","",INDEX(Lista_Meses,MONTH(A255)))</f>
        <v/>
      </c>
      <c r="I255" s="8" t="str">
        <f aca="false">IF(A255="","",YEAR(A255))</f>
        <v/>
      </c>
      <c r="J255" s="16"/>
    </row>
    <row r="256" customFormat="false" ht="15" hidden="false" customHeight="false" outlineLevel="0" collapsed="false">
      <c r="A256" s="15"/>
      <c r="B256" s="16"/>
      <c r="C256" s="16"/>
      <c r="D256" s="16"/>
      <c r="E256" s="16"/>
      <c r="F256" s="17"/>
      <c r="G256" s="16"/>
      <c r="H256" s="8" t="str">
        <f aca="false">IF(A256="","",INDEX(Lista_Meses,MONTH(A256)))</f>
        <v/>
      </c>
      <c r="I256" s="8" t="str">
        <f aca="false">IF(A256="","",YEAR(A256))</f>
        <v/>
      </c>
      <c r="J256" s="16"/>
    </row>
    <row r="257" customFormat="false" ht="15" hidden="false" customHeight="false" outlineLevel="0" collapsed="false">
      <c r="A257" s="15"/>
      <c r="B257" s="16"/>
      <c r="C257" s="16"/>
      <c r="D257" s="16"/>
      <c r="E257" s="16"/>
      <c r="F257" s="17"/>
      <c r="G257" s="16"/>
      <c r="H257" s="8" t="str">
        <f aca="false">IF(A257="","",INDEX(Lista_Meses,MONTH(A257)))</f>
        <v/>
      </c>
      <c r="I257" s="8" t="str">
        <f aca="false">IF(A257="","",YEAR(A257))</f>
        <v/>
      </c>
      <c r="J257" s="16"/>
    </row>
    <row r="258" customFormat="false" ht="15" hidden="false" customHeight="false" outlineLevel="0" collapsed="false">
      <c r="A258" s="15"/>
      <c r="B258" s="16"/>
      <c r="C258" s="16"/>
      <c r="D258" s="16"/>
      <c r="E258" s="16"/>
      <c r="F258" s="17"/>
      <c r="G258" s="16"/>
      <c r="H258" s="8" t="str">
        <f aca="false">IF(A258="","",INDEX(Lista_Meses,MONTH(A258)))</f>
        <v/>
      </c>
      <c r="I258" s="8" t="str">
        <f aca="false">IF(A258="","",YEAR(A258))</f>
        <v/>
      </c>
      <c r="J258" s="16"/>
    </row>
    <row r="259" customFormat="false" ht="15" hidden="false" customHeight="false" outlineLevel="0" collapsed="false">
      <c r="A259" s="15"/>
      <c r="B259" s="16"/>
      <c r="C259" s="16"/>
      <c r="D259" s="16"/>
      <c r="E259" s="16"/>
      <c r="F259" s="17"/>
      <c r="G259" s="16"/>
      <c r="H259" s="8" t="str">
        <f aca="false">IF(A259="","",INDEX(Lista_Meses,MONTH(A259)))</f>
        <v/>
      </c>
      <c r="I259" s="8" t="str">
        <f aca="false">IF(A259="","",YEAR(A259))</f>
        <v/>
      </c>
      <c r="J259" s="16"/>
    </row>
    <row r="260" customFormat="false" ht="15" hidden="false" customHeight="false" outlineLevel="0" collapsed="false">
      <c r="A260" s="15"/>
      <c r="B260" s="16"/>
      <c r="C260" s="16"/>
      <c r="D260" s="16"/>
      <c r="E260" s="16"/>
      <c r="F260" s="17"/>
      <c r="G260" s="16"/>
      <c r="H260" s="8" t="str">
        <f aca="false">IF(A260="","",INDEX(Lista_Meses,MONTH(A260)))</f>
        <v/>
      </c>
      <c r="I260" s="8" t="str">
        <f aca="false">IF(A260="","",YEAR(A260))</f>
        <v/>
      </c>
      <c r="J260" s="16"/>
    </row>
    <row r="261" customFormat="false" ht="15" hidden="false" customHeight="false" outlineLevel="0" collapsed="false">
      <c r="A261" s="15"/>
      <c r="B261" s="16"/>
      <c r="C261" s="16"/>
      <c r="D261" s="16"/>
      <c r="E261" s="16"/>
      <c r="F261" s="17"/>
      <c r="G261" s="16"/>
      <c r="H261" s="8" t="str">
        <f aca="false">IF(A261="","",INDEX(Lista_Meses,MONTH(A261)))</f>
        <v/>
      </c>
      <c r="I261" s="8" t="str">
        <f aca="false">IF(A261="","",YEAR(A261))</f>
        <v/>
      </c>
      <c r="J261" s="16"/>
    </row>
    <row r="262" customFormat="false" ht="15" hidden="false" customHeight="false" outlineLevel="0" collapsed="false">
      <c r="A262" s="15"/>
      <c r="B262" s="16"/>
      <c r="C262" s="16"/>
      <c r="D262" s="16"/>
      <c r="E262" s="16"/>
      <c r="F262" s="17"/>
      <c r="G262" s="16"/>
      <c r="H262" s="8" t="str">
        <f aca="false">IF(A262="","",INDEX(Lista_Meses,MONTH(A262)))</f>
        <v/>
      </c>
      <c r="I262" s="8" t="str">
        <f aca="false">IF(A262="","",YEAR(A262))</f>
        <v/>
      </c>
      <c r="J262" s="16"/>
    </row>
    <row r="263" customFormat="false" ht="15" hidden="false" customHeight="false" outlineLevel="0" collapsed="false">
      <c r="A263" s="15"/>
      <c r="B263" s="16"/>
      <c r="C263" s="16"/>
      <c r="D263" s="16"/>
      <c r="E263" s="16"/>
      <c r="F263" s="17"/>
      <c r="G263" s="16"/>
      <c r="H263" s="8" t="str">
        <f aca="false">IF(A263="","",INDEX(Lista_Meses,MONTH(A263)))</f>
        <v/>
      </c>
      <c r="I263" s="8" t="str">
        <f aca="false">IF(A263="","",YEAR(A263))</f>
        <v/>
      </c>
      <c r="J263" s="16"/>
    </row>
    <row r="264" customFormat="false" ht="15" hidden="false" customHeight="false" outlineLevel="0" collapsed="false">
      <c r="A264" s="15"/>
      <c r="B264" s="16"/>
      <c r="C264" s="16"/>
      <c r="D264" s="16"/>
      <c r="E264" s="16"/>
      <c r="F264" s="17"/>
      <c r="G264" s="16"/>
      <c r="H264" s="8" t="str">
        <f aca="false">IF(A264="","",INDEX(Lista_Meses,MONTH(A264)))</f>
        <v/>
      </c>
      <c r="I264" s="8" t="str">
        <f aca="false">IF(A264="","",YEAR(A264))</f>
        <v/>
      </c>
      <c r="J264" s="16"/>
    </row>
    <row r="265" customFormat="false" ht="15" hidden="false" customHeight="false" outlineLevel="0" collapsed="false">
      <c r="A265" s="15"/>
      <c r="B265" s="16"/>
      <c r="C265" s="16"/>
      <c r="D265" s="16"/>
      <c r="E265" s="16"/>
      <c r="F265" s="17"/>
      <c r="G265" s="16"/>
      <c r="H265" s="8" t="str">
        <f aca="false">IF(A265="","",INDEX(Lista_Meses,MONTH(A265)))</f>
        <v/>
      </c>
      <c r="I265" s="8" t="str">
        <f aca="false">IF(A265="","",YEAR(A265))</f>
        <v/>
      </c>
      <c r="J265" s="16"/>
    </row>
    <row r="266" customFormat="false" ht="15" hidden="false" customHeight="false" outlineLevel="0" collapsed="false">
      <c r="A266" s="15"/>
      <c r="B266" s="16"/>
      <c r="C266" s="16"/>
      <c r="D266" s="16"/>
      <c r="E266" s="16"/>
      <c r="F266" s="17"/>
      <c r="G266" s="16"/>
      <c r="H266" s="8" t="str">
        <f aca="false">IF(A266="","",INDEX(Lista_Meses,MONTH(A266)))</f>
        <v/>
      </c>
      <c r="I266" s="8" t="str">
        <f aca="false">IF(A266="","",YEAR(A266))</f>
        <v/>
      </c>
      <c r="J266" s="16"/>
    </row>
    <row r="267" customFormat="false" ht="15" hidden="false" customHeight="false" outlineLevel="0" collapsed="false">
      <c r="A267" s="15"/>
      <c r="B267" s="16"/>
      <c r="C267" s="16"/>
      <c r="D267" s="16"/>
      <c r="E267" s="16"/>
      <c r="F267" s="17"/>
      <c r="G267" s="16"/>
      <c r="H267" s="8" t="str">
        <f aca="false">IF(A267="","",INDEX(Lista_Meses,MONTH(A267)))</f>
        <v/>
      </c>
      <c r="I267" s="8" t="str">
        <f aca="false">IF(A267="","",YEAR(A267))</f>
        <v/>
      </c>
      <c r="J267" s="16"/>
    </row>
    <row r="268" customFormat="false" ht="15" hidden="false" customHeight="false" outlineLevel="0" collapsed="false">
      <c r="A268" s="15"/>
      <c r="B268" s="16"/>
      <c r="C268" s="16"/>
      <c r="D268" s="16"/>
      <c r="E268" s="16"/>
      <c r="F268" s="17"/>
      <c r="G268" s="16"/>
      <c r="H268" s="8" t="str">
        <f aca="false">IF(A268="","",INDEX(Lista_Meses,MONTH(A268)))</f>
        <v/>
      </c>
      <c r="I268" s="8" t="str">
        <f aca="false">IF(A268="","",YEAR(A268))</f>
        <v/>
      </c>
      <c r="J268" s="16"/>
    </row>
    <row r="269" customFormat="false" ht="15" hidden="false" customHeight="false" outlineLevel="0" collapsed="false">
      <c r="A269" s="15"/>
      <c r="B269" s="16"/>
      <c r="C269" s="16"/>
      <c r="D269" s="16"/>
      <c r="E269" s="16"/>
      <c r="F269" s="17"/>
      <c r="G269" s="16"/>
      <c r="H269" s="8" t="str">
        <f aca="false">IF(A269="","",INDEX(Lista_Meses,MONTH(A269)))</f>
        <v/>
      </c>
      <c r="I269" s="8" t="str">
        <f aca="false">IF(A269="","",YEAR(A269))</f>
        <v/>
      </c>
      <c r="J269" s="16"/>
    </row>
    <row r="270" customFormat="false" ht="15" hidden="false" customHeight="false" outlineLevel="0" collapsed="false">
      <c r="A270" s="15"/>
      <c r="B270" s="16"/>
      <c r="C270" s="16"/>
      <c r="D270" s="16"/>
      <c r="E270" s="16"/>
      <c r="F270" s="17"/>
      <c r="G270" s="16"/>
      <c r="H270" s="8" t="str">
        <f aca="false">IF(A270="","",INDEX(Lista_Meses,MONTH(A270)))</f>
        <v/>
      </c>
      <c r="I270" s="8" t="str">
        <f aca="false">IF(A270="","",YEAR(A270))</f>
        <v/>
      </c>
      <c r="J270" s="16"/>
    </row>
    <row r="271" customFormat="false" ht="15" hidden="false" customHeight="false" outlineLevel="0" collapsed="false">
      <c r="A271" s="15"/>
      <c r="B271" s="16"/>
      <c r="C271" s="16"/>
      <c r="D271" s="16"/>
      <c r="E271" s="16"/>
      <c r="F271" s="17"/>
      <c r="G271" s="16"/>
      <c r="H271" s="8" t="str">
        <f aca="false">IF(A271="","",INDEX(Lista_Meses,MONTH(A271)))</f>
        <v/>
      </c>
      <c r="I271" s="8" t="str">
        <f aca="false">IF(A271="","",YEAR(A271))</f>
        <v/>
      </c>
      <c r="J271" s="16"/>
    </row>
    <row r="272" customFormat="false" ht="15" hidden="false" customHeight="false" outlineLevel="0" collapsed="false">
      <c r="A272" s="15"/>
      <c r="B272" s="16"/>
      <c r="C272" s="16"/>
      <c r="D272" s="16"/>
      <c r="E272" s="16"/>
      <c r="F272" s="17"/>
      <c r="G272" s="16"/>
      <c r="H272" s="8" t="str">
        <f aca="false">IF(A272="","",INDEX(Lista_Meses,MONTH(A272)))</f>
        <v/>
      </c>
      <c r="I272" s="8" t="str">
        <f aca="false">IF(A272="","",YEAR(A272))</f>
        <v/>
      </c>
      <c r="J272" s="16"/>
    </row>
    <row r="273" customFormat="false" ht="15" hidden="false" customHeight="false" outlineLevel="0" collapsed="false">
      <c r="A273" s="15"/>
      <c r="B273" s="16"/>
      <c r="C273" s="16"/>
      <c r="D273" s="16"/>
      <c r="E273" s="16"/>
      <c r="F273" s="17"/>
      <c r="G273" s="16"/>
      <c r="H273" s="8" t="str">
        <f aca="false">IF(A273="","",INDEX(Lista_Meses,MONTH(A273)))</f>
        <v/>
      </c>
      <c r="I273" s="8" t="str">
        <f aca="false">IF(A273="","",YEAR(A273))</f>
        <v/>
      </c>
      <c r="J273" s="16"/>
    </row>
    <row r="274" customFormat="false" ht="15" hidden="false" customHeight="false" outlineLevel="0" collapsed="false">
      <c r="A274" s="15"/>
      <c r="B274" s="16"/>
      <c r="C274" s="16"/>
      <c r="D274" s="16"/>
      <c r="E274" s="16"/>
      <c r="F274" s="17"/>
      <c r="G274" s="16"/>
      <c r="H274" s="8" t="str">
        <f aca="false">IF(A274="","",INDEX(Lista_Meses,MONTH(A274)))</f>
        <v/>
      </c>
      <c r="I274" s="8" t="str">
        <f aca="false">IF(A274="","",YEAR(A274))</f>
        <v/>
      </c>
      <c r="J274" s="16"/>
    </row>
    <row r="275" customFormat="false" ht="15" hidden="false" customHeight="false" outlineLevel="0" collapsed="false">
      <c r="A275" s="15"/>
      <c r="B275" s="16"/>
      <c r="C275" s="16"/>
      <c r="D275" s="16"/>
      <c r="E275" s="16"/>
      <c r="F275" s="17"/>
      <c r="G275" s="16"/>
      <c r="H275" s="8" t="str">
        <f aca="false">IF(A275="","",INDEX(Lista_Meses,MONTH(A275)))</f>
        <v/>
      </c>
      <c r="I275" s="8" t="str">
        <f aca="false">IF(A275="","",YEAR(A275))</f>
        <v/>
      </c>
      <c r="J275" s="16"/>
    </row>
    <row r="276" customFormat="false" ht="15" hidden="false" customHeight="false" outlineLevel="0" collapsed="false">
      <c r="A276" s="15"/>
      <c r="B276" s="16"/>
      <c r="C276" s="16"/>
      <c r="D276" s="16"/>
      <c r="E276" s="16"/>
      <c r="F276" s="17"/>
      <c r="G276" s="16"/>
      <c r="H276" s="8" t="str">
        <f aca="false">IF(A276="","",INDEX(Lista_Meses,MONTH(A276)))</f>
        <v/>
      </c>
      <c r="I276" s="8" t="str">
        <f aca="false">IF(A276="","",YEAR(A276))</f>
        <v/>
      </c>
      <c r="J276" s="16"/>
    </row>
    <row r="277" customFormat="false" ht="15" hidden="false" customHeight="false" outlineLevel="0" collapsed="false">
      <c r="A277" s="15"/>
      <c r="B277" s="16"/>
      <c r="C277" s="16"/>
      <c r="D277" s="16"/>
      <c r="E277" s="16"/>
      <c r="F277" s="17"/>
      <c r="G277" s="16"/>
      <c r="H277" s="8" t="str">
        <f aca="false">IF(A277="","",INDEX(Lista_Meses,MONTH(A277)))</f>
        <v/>
      </c>
      <c r="I277" s="8" t="str">
        <f aca="false">IF(A277="","",YEAR(A277))</f>
        <v/>
      </c>
      <c r="J277" s="16"/>
    </row>
    <row r="278" customFormat="false" ht="15" hidden="false" customHeight="false" outlineLevel="0" collapsed="false">
      <c r="A278" s="15"/>
      <c r="B278" s="16"/>
      <c r="C278" s="16"/>
      <c r="D278" s="16"/>
      <c r="E278" s="16"/>
      <c r="F278" s="17"/>
      <c r="G278" s="16"/>
      <c r="H278" s="8" t="str">
        <f aca="false">IF(A278="","",INDEX(Lista_Meses,MONTH(A278)))</f>
        <v/>
      </c>
      <c r="I278" s="8" t="str">
        <f aca="false">IF(A278="","",YEAR(A278))</f>
        <v/>
      </c>
      <c r="J278" s="16"/>
    </row>
    <row r="279" customFormat="false" ht="15" hidden="false" customHeight="false" outlineLevel="0" collapsed="false">
      <c r="A279" s="15"/>
      <c r="B279" s="16"/>
      <c r="C279" s="16"/>
      <c r="D279" s="16"/>
      <c r="E279" s="16"/>
      <c r="F279" s="17"/>
      <c r="G279" s="16"/>
      <c r="H279" s="8" t="str">
        <f aca="false">IF(A279="","",INDEX(Lista_Meses,MONTH(A279)))</f>
        <v/>
      </c>
      <c r="I279" s="8" t="str">
        <f aca="false">IF(A279="","",YEAR(A279))</f>
        <v/>
      </c>
      <c r="J279" s="16"/>
    </row>
    <row r="280" customFormat="false" ht="15" hidden="false" customHeight="false" outlineLevel="0" collapsed="false">
      <c r="A280" s="15"/>
      <c r="B280" s="16"/>
      <c r="C280" s="16"/>
      <c r="D280" s="16"/>
      <c r="E280" s="16"/>
      <c r="F280" s="17"/>
      <c r="G280" s="16"/>
      <c r="H280" s="8" t="str">
        <f aca="false">IF(A280="","",INDEX(Lista_Meses,MONTH(A280)))</f>
        <v/>
      </c>
      <c r="I280" s="8" t="str">
        <f aca="false">IF(A280="","",YEAR(A280))</f>
        <v/>
      </c>
      <c r="J280" s="16"/>
    </row>
    <row r="281" customFormat="false" ht="15" hidden="false" customHeight="false" outlineLevel="0" collapsed="false">
      <c r="A281" s="15"/>
      <c r="B281" s="16"/>
      <c r="C281" s="16"/>
      <c r="D281" s="16"/>
      <c r="E281" s="16"/>
      <c r="F281" s="17"/>
      <c r="G281" s="16"/>
      <c r="H281" s="8" t="str">
        <f aca="false">IF(A281="","",INDEX(Lista_Meses,MONTH(A281)))</f>
        <v/>
      </c>
      <c r="I281" s="8" t="str">
        <f aca="false">IF(A281="","",YEAR(A281))</f>
        <v/>
      </c>
      <c r="J281" s="16"/>
    </row>
    <row r="282" customFormat="false" ht="15" hidden="false" customHeight="false" outlineLevel="0" collapsed="false">
      <c r="A282" s="15"/>
      <c r="B282" s="16"/>
      <c r="C282" s="16"/>
      <c r="D282" s="16"/>
      <c r="E282" s="16"/>
      <c r="F282" s="17"/>
      <c r="G282" s="16"/>
      <c r="H282" s="8" t="str">
        <f aca="false">IF(A282="","",INDEX(Lista_Meses,MONTH(A282)))</f>
        <v/>
      </c>
      <c r="I282" s="8" t="str">
        <f aca="false">IF(A282="","",YEAR(A282))</f>
        <v/>
      </c>
      <c r="J282" s="16"/>
    </row>
    <row r="283" customFormat="false" ht="15" hidden="false" customHeight="false" outlineLevel="0" collapsed="false">
      <c r="A283" s="15"/>
      <c r="B283" s="16"/>
      <c r="C283" s="16"/>
      <c r="D283" s="16"/>
      <c r="E283" s="16"/>
      <c r="F283" s="17"/>
      <c r="G283" s="16"/>
      <c r="H283" s="8" t="str">
        <f aca="false">IF(A283="","",INDEX(Lista_Meses,MONTH(A283)))</f>
        <v/>
      </c>
      <c r="I283" s="8" t="str">
        <f aca="false">IF(A283="","",YEAR(A283))</f>
        <v/>
      </c>
      <c r="J283" s="16"/>
    </row>
    <row r="284" customFormat="false" ht="15" hidden="false" customHeight="false" outlineLevel="0" collapsed="false">
      <c r="A284" s="15"/>
      <c r="B284" s="16"/>
      <c r="C284" s="16"/>
      <c r="D284" s="16"/>
      <c r="E284" s="16"/>
      <c r="F284" s="17"/>
      <c r="G284" s="16"/>
      <c r="H284" s="8" t="str">
        <f aca="false">IF(A284="","",INDEX(Lista_Meses,MONTH(A284)))</f>
        <v/>
      </c>
      <c r="I284" s="8" t="str">
        <f aca="false">IF(A284="","",YEAR(A284))</f>
        <v/>
      </c>
      <c r="J284" s="16"/>
    </row>
    <row r="285" customFormat="false" ht="15" hidden="false" customHeight="false" outlineLevel="0" collapsed="false">
      <c r="A285" s="15"/>
      <c r="B285" s="16"/>
      <c r="C285" s="16"/>
      <c r="D285" s="16"/>
      <c r="E285" s="16"/>
      <c r="F285" s="17"/>
      <c r="G285" s="16"/>
      <c r="H285" s="8" t="str">
        <f aca="false">IF(A285="","",INDEX(Lista_Meses,MONTH(A285)))</f>
        <v/>
      </c>
      <c r="I285" s="8" t="str">
        <f aca="false">IF(A285="","",YEAR(A285))</f>
        <v/>
      </c>
      <c r="J285" s="16"/>
    </row>
    <row r="286" customFormat="false" ht="15" hidden="false" customHeight="false" outlineLevel="0" collapsed="false">
      <c r="A286" s="15"/>
      <c r="B286" s="16"/>
      <c r="C286" s="16"/>
      <c r="D286" s="16"/>
      <c r="E286" s="16"/>
      <c r="F286" s="17"/>
      <c r="G286" s="16"/>
      <c r="H286" s="8" t="str">
        <f aca="false">IF(A286="","",INDEX(Lista_Meses,MONTH(A286)))</f>
        <v/>
      </c>
      <c r="I286" s="8" t="str">
        <f aca="false">IF(A286="","",YEAR(A286))</f>
        <v/>
      </c>
      <c r="J286" s="16"/>
    </row>
    <row r="287" customFormat="false" ht="15" hidden="false" customHeight="false" outlineLevel="0" collapsed="false">
      <c r="A287" s="15"/>
      <c r="B287" s="16"/>
      <c r="C287" s="16"/>
      <c r="D287" s="16"/>
      <c r="E287" s="16"/>
      <c r="F287" s="17"/>
      <c r="G287" s="16"/>
      <c r="H287" s="8" t="str">
        <f aca="false">IF(A287="","",INDEX(Lista_Meses,MONTH(A287)))</f>
        <v/>
      </c>
      <c r="I287" s="8" t="str">
        <f aca="false">IF(A287="","",YEAR(A287))</f>
        <v/>
      </c>
      <c r="J287" s="16"/>
    </row>
    <row r="288" customFormat="false" ht="15" hidden="false" customHeight="false" outlineLevel="0" collapsed="false">
      <c r="A288" s="15"/>
      <c r="B288" s="16"/>
      <c r="C288" s="16"/>
      <c r="D288" s="16"/>
      <c r="E288" s="16"/>
      <c r="F288" s="17"/>
      <c r="G288" s="16"/>
      <c r="H288" s="8" t="str">
        <f aca="false">IF(A288="","",INDEX(Lista_Meses,MONTH(A288)))</f>
        <v/>
      </c>
      <c r="I288" s="8" t="str">
        <f aca="false">IF(A288="","",YEAR(A288))</f>
        <v/>
      </c>
      <c r="J288" s="16"/>
    </row>
    <row r="289" customFormat="false" ht="15" hidden="false" customHeight="false" outlineLevel="0" collapsed="false">
      <c r="A289" s="15"/>
      <c r="B289" s="16"/>
      <c r="C289" s="16"/>
      <c r="D289" s="16"/>
      <c r="E289" s="16"/>
      <c r="F289" s="17"/>
      <c r="G289" s="16"/>
      <c r="H289" s="8" t="str">
        <f aca="false">IF(A289="","",INDEX(Lista_Meses,MONTH(A289)))</f>
        <v/>
      </c>
      <c r="I289" s="8" t="str">
        <f aca="false">IF(A289="","",YEAR(A289))</f>
        <v/>
      </c>
      <c r="J289" s="16"/>
    </row>
    <row r="290" customFormat="false" ht="15" hidden="false" customHeight="false" outlineLevel="0" collapsed="false">
      <c r="A290" s="15"/>
      <c r="B290" s="16"/>
      <c r="C290" s="16"/>
      <c r="D290" s="16"/>
      <c r="E290" s="16"/>
      <c r="F290" s="17"/>
      <c r="G290" s="16"/>
      <c r="H290" s="8" t="str">
        <f aca="false">IF(A290="","",INDEX(Lista_Meses,MONTH(A290)))</f>
        <v/>
      </c>
      <c r="I290" s="8" t="str">
        <f aca="false">IF(A290="","",YEAR(A290))</f>
        <v/>
      </c>
      <c r="J290" s="16"/>
    </row>
    <row r="291" customFormat="false" ht="15" hidden="false" customHeight="false" outlineLevel="0" collapsed="false">
      <c r="A291" s="15"/>
      <c r="B291" s="16"/>
      <c r="C291" s="16"/>
      <c r="D291" s="16"/>
      <c r="E291" s="16"/>
      <c r="F291" s="17"/>
      <c r="G291" s="16"/>
      <c r="H291" s="8" t="str">
        <f aca="false">IF(A291="","",INDEX(Lista_Meses,MONTH(A291)))</f>
        <v/>
      </c>
      <c r="I291" s="8" t="str">
        <f aca="false">IF(A291="","",YEAR(A291))</f>
        <v/>
      </c>
      <c r="J291" s="16"/>
    </row>
    <row r="292" customFormat="false" ht="15" hidden="false" customHeight="false" outlineLevel="0" collapsed="false">
      <c r="A292" s="15"/>
      <c r="B292" s="16"/>
      <c r="C292" s="16"/>
      <c r="D292" s="16"/>
      <c r="E292" s="16"/>
      <c r="F292" s="17"/>
      <c r="G292" s="16"/>
      <c r="H292" s="8" t="str">
        <f aca="false">IF(A292="","",INDEX(Lista_Meses,MONTH(A292)))</f>
        <v/>
      </c>
      <c r="I292" s="8" t="str">
        <f aca="false">IF(A292="","",YEAR(A292))</f>
        <v/>
      </c>
      <c r="J292" s="16"/>
    </row>
    <row r="293" customFormat="false" ht="15" hidden="false" customHeight="false" outlineLevel="0" collapsed="false">
      <c r="A293" s="15"/>
      <c r="B293" s="16"/>
      <c r="C293" s="16"/>
      <c r="D293" s="16"/>
      <c r="E293" s="16"/>
      <c r="F293" s="17"/>
      <c r="G293" s="16"/>
      <c r="H293" s="8" t="str">
        <f aca="false">IF(A293="","",INDEX(Lista_Meses,MONTH(A293)))</f>
        <v/>
      </c>
      <c r="I293" s="8" t="str">
        <f aca="false">IF(A293="","",YEAR(A293))</f>
        <v/>
      </c>
      <c r="J293" s="16"/>
    </row>
    <row r="294" customFormat="false" ht="15" hidden="false" customHeight="false" outlineLevel="0" collapsed="false">
      <c r="A294" s="15"/>
      <c r="B294" s="16"/>
      <c r="C294" s="16"/>
      <c r="D294" s="16"/>
      <c r="E294" s="16"/>
      <c r="F294" s="17"/>
      <c r="G294" s="16"/>
      <c r="H294" s="8" t="str">
        <f aca="false">IF(A294="","",INDEX(Lista_Meses,MONTH(A294)))</f>
        <v/>
      </c>
      <c r="I294" s="8" t="str">
        <f aca="false">IF(A294="","",YEAR(A294))</f>
        <v/>
      </c>
      <c r="J294" s="16"/>
    </row>
    <row r="295" customFormat="false" ht="15" hidden="false" customHeight="false" outlineLevel="0" collapsed="false">
      <c r="A295" s="15"/>
      <c r="B295" s="16"/>
      <c r="C295" s="16"/>
      <c r="D295" s="16"/>
      <c r="E295" s="16"/>
      <c r="F295" s="17"/>
      <c r="G295" s="16"/>
      <c r="H295" s="8" t="str">
        <f aca="false">IF(A295="","",INDEX(Lista_Meses,MONTH(A295)))</f>
        <v/>
      </c>
      <c r="I295" s="8" t="str">
        <f aca="false">IF(A295="","",YEAR(A295))</f>
        <v/>
      </c>
      <c r="J295" s="16"/>
    </row>
    <row r="296" customFormat="false" ht="15" hidden="false" customHeight="false" outlineLevel="0" collapsed="false">
      <c r="A296" s="15"/>
      <c r="B296" s="16"/>
      <c r="C296" s="16"/>
      <c r="D296" s="16"/>
      <c r="E296" s="16"/>
      <c r="F296" s="17"/>
      <c r="G296" s="16"/>
      <c r="H296" s="8" t="str">
        <f aca="false">IF(A296="","",INDEX(Lista_Meses,MONTH(A296)))</f>
        <v/>
      </c>
      <c r="I296" s="8" t="str">
        <f aca="false">IF(A296="","",YEAR(A296))</f>
        <v/>
      </c>
      <c r="J296" s="16"/>
    </row>
    <row r="297" customFormat="false" ht="15" hidden="false" customHeight="false" outlineLevel="0" collapsed="false">
      <c r="A297" s="15"/>
      <c r="B297" s="16"/>
      <c r="C297" s="16"/>
      <c r="D297" s="16"/>
      <c r="E297" s="16"/>
      <c r="F297" s="17"/>
      <c r="G297" s="16"/>
      <c r="H297" s="8" t="str">
        <f aca="false">IF(A297="","",INDEX(Lista_Meses,MONTH(A297)))</f>
        <v/>
      </c>
      <c r="I297" s="8" t="str">
        <f aca="false">IF(A297="","",YEAR(A297))</f>
        <v/>
      </c>
      <c r="J297" s="16"/>
    </row>
    <row r="298" customFormat="false" ht="15" hidden="false" customHeight="false" outlineLevel="0" collapsed="false">
      <c r="A298" s="15"/>
      <c r="B298" s="16"/>
      <c r="C298" s="16"/>
      <c r="D298" s="16"/>
      <c r="E298" s="16"/>
      <c r="F298" s="17"/>
      <c r="G298" s="16"/>
      <c r="H298" s="8" t="str">
        <f aca="false">IF(A298="","",INDEX(Lista_Meses,MONTH(A298)))</f>
        <v/>
      </c>
      <c r="I298" s="8" t="str">
        <f aca="false">IF(A298="","",YEAR(A298))</f>
        <v/>
      </c>
      <c r="J298" s="16"/>
    </row>
    <row r="299" customFormat="false" ht="15" hidden="false" customHeight="false" outlineLevel="0" collapsed="false">
      <c r="A299" s="15"/>
      <c r="B299" s="16"/>
      <c r="C299" s="16"/>
      <c r="D299" s="16"/>
      <c r="E299" s="16"/>
      <c r="F299" s="17"/>
      <c r="G299" s="16"/>
      <c r="H299" s="8" t="str">
        <f aca="false">IF(A299="","",INDEX(Lista_Meses,MONTH(A299)))</f>
        <v/>
      </c>
      <c r="I299" s="8" t="str">
        <f aca="false">IF(A299="","",YEAR(A299))</f>
        <v/>
      </c>
      <c r="J299" s="16"/>
    </row>
    <row r="300" customFormat="false" ht="15" hidden="false" customHeight="false" outlineLevel="0" collapsed="false">
      <c r="A300" s="15"/>
      <c r="B300" s="16"/>
      <c r="C300" s="16"/>
      <c r="D300" s="16"/>
      <c r="E300" s="16"/>
      <c r="F300" s="17"/>
      <c r="G300" s="16"/>
      <c r="H300" s="8" t="str">
        <f aca="false">IF(A300="","",INDEX(Lista_Meses,MONTH(A300)))</f>
        <v/>
      </c>
      <c r="I300" s="8" t="str">
        <f aca="false">IF(A300="","",YEAR(A300))</f>
        <v/>
      </c>
      <c r="J300" s="16"/>
    </row>
    <row r="301" customFormat="false" ht="15" hidden="false" customHeight="false" outlineLevel="0" collapsed="false">
      <c r="A301" s="15"/>
      <c r="B301" s="16"/>
      <c r="C301" s="16"/>
      <c r="D301" s="16"/>
      <c r="E301" s="16"/>
      <c r="F301" s="17"/>
      <c r="G301" s="16"/>
      <c r="H301" s="8" t="str">
        <f aca="false">IF(A301="","",INDEX(Lista_Meses,MONTH(A301)))</f>
        <v/>
      </c>
      <c r="I301" s="8" t="str">
        <f aca="false">IF(A301="","",YEAR(A301))</f>
        <v/>
      </c>
      <c r="J301" s="16"/>
    </row>
    <row r="302" customFormat="false" ht="15" hidden="false" customHeight="false" outlineLevel="0" collapsed="false">
      <c r="A302" s="15"/>
      <c r="B302" s="16"/>
      <c r="C302" s="16"/>
      <c r="D302" s="16"/>
      <c r="E302" s="16"/>
      <c r="F302" s="17"/>
      <c r="G302" s="16"/>
      <c r="H302" s="8" t="str">
        <f aca="false">IF(A302="","",INDEX(Lista_Meses,MONTH(A302)))</f>
        <v/>
      </c>
      <c r="I302" s="8" t="str">
        <f aca="false">IF(A302="","",YEAR(A302))</f>
        <v/>
      </c>
      <c r="J302" s="16"/>
    </row>
    <row r="303" customFormat="false" ht="15" hidden="false" customHeight="false" outlineLevel="0" collapsed="false">
      <c r="A303" s="15"/>
      <c r="B303" s="16"/>
      <c r="C303" s="16"/>
      <c r="D303" s="16"/>
      <c r="E303" s="16"/>
      <c r="F303" s="17"/>
      <c r="G303" s="16"/>
      <c r="H303" s="8" t="str">
        <f aca="false">IF(A303="","",INDEX(Lista_Meses,MONTH(A303)))</f>
        <v/>
      </c>
      <c r="I303" s="8" t="str">
        <f aca="false">IF(A303="","",YEAR(A303))</f>
        <v/>
      </c>
      <c r="J303" s="16"/>
    </row>
    <row r="304" customFormat="false" ht="15" hidden="false" customHeight="false" outlineLevel="0" collapsed="false">
      <c r="A304" s="15"/>
      <c r="B304" s="16"/>
      <c r="C304" s="16"/>
      <c r="D304" s="16"/>
      <c r="E304" s="16"/>
      <c r="F304" s="17"/>
      <c r="G304" s="16"/>
      <c r="H304" s="8" t="str">
        <f aca="false">IF(A304="","",INDEX(Lista_Meses,MONTH(A304)))</f>
        <v/>
      </c>
      <c r="I304" s="8" t="str">
        <f aca="false">IF(A304="","",YEAR(A304))</f>
        <v/>
      </c>
      <c r="J304" s="16"/>
    </row>
    <row r="305" customFormat="false" ht="15" hidden="false" customHeight="false" outlineLevel="0" collapsed="false">
      <c r="A305" s="15"/>
      <c r="B305" s="16"/>
      <c r="C305" s="16"/>
      <c r="D305" s="16"/>
      <c r="E305" s="16"/>
      <c r="F305" s="17"/>
      <c r="G305" s="16"/>
      <c r="H305" s="8" t="str">
        <f aca="false">IF(A305="","",INDEX(Lista_Meses,MONTH(A305)))</f>
        <v/>
      </c>
      <c r="I305" s="8" t="str">
        <f aca="false">IF(A305="","",YEAR(A305))</f>
        <v/>
      </c>
      <c r="J305" s="16"/>
    </row>
    <row r="306" customFormat="false" ht="15" hidden="false" customHeight="false" outlineLevel="0" collapsed="false">
      <c r="A306" s="15"/>
      <c r="B306" s="16"/>
      <c r="C306" s="16"/>
      <c r="D306" s="16"/>
      <c r="E306" s="16"/>
      <c r="F306" s="17"/>
      <c r="G306" s="16"/>
      <c r="H306" s="8" t="str">
        <f aca="false">IF(A306="","",INDEX(Lista_Meses,MONTH(A306)))</f>
        <v/>
      </c>
      <c r="I306" s="8" t="str">
        <f aca="false">IF(A306="","",YEAR(A306))</f>
        <v/>
      </c>
      <c r="J306" s="16"/>
    </row>
    <row r="307" customFormat="false" ht="15" hidden="false" customHeight="false" outlineLevel="0" collapsed="false">
      <c r="A307" s="15"/>
      <c r="B307" s="16"/>
      <c r="C307" s="16"/>
      <c r="D307" s="16"/>
      <c r="E307" s="16"/>
      <c r="F307" s="17"/>
      <c r="G307" s="16"/>
      <c r="H307" s="8" t="str">
        <f aca="false">IF(A307="","",INDEX(Lista_Meses,MONTH(A307)))</f>
        <v/>
      </c>
      <c r="I307" s="8" t="str">
        <f aca="false">IF(A307="","",YEAR(A307))</f>
        <v/>
      </c>
      <c r="J307" s="16"/>
    </row>
    <row r="308" customFormat="false" ht="15" hidden="false" customHeight="false" outlineLevel="0" collapsed="false">
      <c r="A308" s="15"/>
      <c r="B308" s="16"/>
      <c r="C308" s="16"/>
      <c r="D308" s="16"/>
      <c r="E308" s="16"/>
      <c r="F308" s="17"/>
      <c r="G308" s="16"/>
      <c r="H308" s="8" t="str">
        <f aca="false">IF(A308="","",INDEX(Lista_Meses,MONTH(A308)))</f>
        <v/>
      </c>
      <c r="I308" s="8" t="str">
        <f aca="false">IF(A308="","",YEAR(A308))</f>
        <v/>
      </c>
      <c r="J308" s="16"/>
    </row>
    <row r="309" customFormat="false" ht="15" hidden="false" customHeight="false" outlineLevel="0" collapsed="false">
      <c r="A309" s="15"/>
      <c r="B309" s="16"/>
      <c r="C309" s="16"/>
      <c r="D309" s="16"/>
      <c r="E309" s="16"/>
      <c r="F309" s="17"/>
      <c r="G309" s="16"/>
      <c r="H309" s="8" t="str">
        <f aca="false">IF(A309="","",INDEX(Lista_Meses,MONTH(A309)))</f>
        <v/>
      </c>
      <c r="I309" s="8" t="str">
        <f aca="false">IF(A309="","",YEAR(A309))</f>
        <v/>
      </c>
      <c r="J309" s="16"/>
    </row>
    <row r="310" customFormat="false" ht="15" hidden="false" customHeight="false" outlineLevel="0" collapsed="false">
      <c r="A310" s="15"/>
      <c r="B310" s="16"/>
      <c r="C310" s="16"/>
      <c r="D310" s="16"/>
      <c r="E310" s="16"/>
      <c r="F310" s="17"/>
      <c r="G310" s="16"/>
      <c r="H310" s="8" t="str">
        <f aca="false">IF(A310="","",INDEX(Lista_Meses,MONTH(A310)))</f>
        <v/>
      </c>
      <c r="I310" s="8" t="str">
        <f aca="false">IF(A310="","",YEAR(A310))</f>
        <v/>
      </c>
      <c r="J310" s="16"/>
    </row>
    <row r="311" customFormat="false" ht="15" hidden="false" customHeight="false" outlineLevel="0" collapsed="false">
      <c r="A311" s="15"/>
      <c r="B311" s="16"/>
      <c r="C311" s="16"/>
      <c r="D311" s="16"/>
      <c r="E311" s="16"/>
      <c r="F311" s="17"/>
      <c r="G311" s="16"/>
      <c r="H311" s="8" t="str">
        <f aca="false">IF(A311="","",INDEX(Lista_Meses,MONTH(A311)))</f>
        <v/>
      </c>
      <c r="I311" s="8" t="str">
        <f aca="false">IF(A311="","",YEAR(A311))</f>
        <v/>
      </c>
      <c r="J311" s="16"/>
    </row>
    <row r="312" customFormat="false" ht="15" hidden="false" customHeight="false" outlineLevel="0" collapsed="false">
      <c r="A312" s="15"/>
      <c r="B312" s="16"/>
      <c r="C312" s="16"/>
      <c r="D312" s="16"/>
      <c r="E312" s="16"/>
      <c r="F312" s="17"/>
      <c r="G312" s="16"/>
      <c r="H312" s="8" t="str">
        <f aca="false">IF(A312="","",INDEX(Lista_Meses,MONTH(A312)))</f>
        <v/>
      </c>
      <c r="I312" s="8" t="str">
        <f aca="false">IF(A312="","",YEAR(A312))</f>
        <v/>
      </c>
      <c r="J312" s="16"/>
    </row>
    <row r="313" customFormat="false" ht="15" hidden="false" customHeight="false" outlineLevel="0" collapsed="false">
      <c r="A313" s="15"/>
      <c r="B313" s="16"/>
      <c r="C313" s="16"/>
      <c r="D313" s="16"/>
      <c r="E313" s="16"/>
      <c r="F313" s="17"/>
      <c r="G313" s="16"/>
      <c r="H313" s="8" t="str">
        <f aca="false">IF(A313="","",INDEX(Lista_Meses,MONTH(A313)))</f>
        <v/>
      </c>
      <c r="I313" s="8" t="str">
        <f aca="false">IF(A313="","",YEAR(A313))</f>
        <v/>
      </c>
      <c r="J313" s="16"/>
    </row>
    <row r="314" customFormat="false" ht="15" hidden="false" customHeight="false" outlineLevel="0" collapsed="false">
      <c r="A314" s="15"/>
      <c r="B314" s="16"/>
      <c r="C314" s="16"/>
      <c r="D314" s="16"/>
      <c r="E314" s="16"/>
      <c r="F314" s="17"/>
      <c r="G314" s="16"/>
      <c r="H314" s="8" t="str">
        <f aca="false">IF(A314="","",INDEX(Lista_Meses,MONTH(A314)))</f>
        <v/>
      </c>
      <c r="I314" s="8" t="str">
        <f aca="false">IF(A314="","",YEAR(A314))</f>
        <v/>
      </c>
      <c r="J314" s="16"/>
    </row>
    <row r="315" customFormat="false" ht="15" hidden="false" customHeight="false" outlineLevel="0" collapsed="false">
      <c r="A315" s="15"/>
      <c r="B315" s="16"/>
      <c r="C315" s="16"/>
      <c r="D315" s="16"/>
      <c r="E315" s="16"/>
      <c r="F315" s="17"/>
      <c r="G315" s="16"/>
      <c r="H315" s="8" t="str">
        <f aca="false">IF(A315="","",INDEX(Lista_Meses,MONTH(A315)))</f>
        <v/>
      </c>
      <c r="I315" s="8" t="str">
        <f aca="false">IF(A315="","",YEAR(A315))</f>
        <v/>
      </c>
      <c r="J315" s="16"/>
    </row>
    <row r="316" customFormat="false" ht="15" hidden="false" customHeight="false" outlineLevel="0" collapsed="false">
      <c r="A316" s="15"/>
      <c r="B316" s="16"/>
      <c r="C316" s="16"/>
      <c r="D316" s="16"/>
      <c r="E316" s="16"/>
      <c r="F316" s="17"/>
      <c r="G316" s="16"/>
      <c r="H316" s="8" t="str">
        <f aca="false">IF(A316="","",INDEX(Lista_Meses,MONTH(A316)))</f>
        <v/>
      </c>
      <c r="I316" s="8" t="str">
        <f aca="false">IF(A316="","",YEAR(A316))</f>
        <v/>
      </c>
      <c r="J316" s="16"/>
    </row>
    <row r="317" customFormat="false" ht="15" hidden="false" customHeight="false" outlineLevel="0" collapsed="false">
      <c r="A317" s="15"/>
      <c r="B317" s="16"/>
      <c r="C317" s="16"/>
      <c r="D317" s="16"/>
      <c r="E317" s="16"/>
      <c r="F317" s="17"/>
      <c r="G317" s="16"/>
      <c r="H317" s="8" t="str">
        <f aca="false">IF(A317="","",INDEX(Lista_Meses,MONTH(A317)))</f>
        <v/>
      </c>
      <c r="I317" s="8" t="str">
        <f aca="false">IF(A317="","",YEAR(A317))</f>
        <v/>
      </c>
      <c r="J317" s="16"/>
    </row>
    <row r="318" customFormat="false" ht="15" hidden="false" customHeight="false" outlineLevel="0" collapsed="false">
      <c r="A318" s="15"/>
      <c r="B318" s="16"/>
      <c r="C318" s="16"/>
      <c r="D318" s="16"/>
      <c r="E318" s="16"/>
      <c r="F318" s="17"/>
      <c r="G318" s="16"/>
      <c r="H318" s="8" t="str">
        <f aca="false">IF(A318="","",INDEX(Lista_Meses,MONTH(A318)))</f>
        <v/>
      </c>
      <c r="I318" s="8" t="str">
        <f aca="false">IF(A318="","",YEAR(A318))</f>
        <v/>
      </c>
      <c r="J318" s="16"/>
    </row>
    <row r="319" customFormat="false" ht="15" hidden="false" customHeight="false" outlineLevel="0" collapsed="false">
      <c r="A319" s="15"/>
      <c r="B319" s="16"/>
      <c r="C319" s="16"/>
      <c r="D319" s="16"/>
      <c r="E319" s="16"/>
      <c r="F319" s="17"/>
      <c r="G319" s="16"/>
      <c r="H319" s="8" t="str">
        <f aca="false">IF(A319="","",INDEX(Lista_Meses,MONTH(A319)))</f>
        <v/>
      </c>
      <c r="I319" s="8" t="str">
        <f aca="false">IF(A319="","",YEAR(A319))</f>
        <v/>
      </c>
      <c r="J319" s="16"/>
    </row>
    <row r="320" customFormat="false" ht="15" hidden="false" customHeight="false" outlineLevel="0" collapsed="false">
      <c r="A320" s="15"/>
      <c r="B320" s="16"/>
      <c r="C320" s="16"/>
      <c r="D320" s="16"/>
      <c r="E320" s="16"/>
      <c r="F320" s="17"/>
      <c r="G320" s="16"/>
      <c r="H320" s="8" t="str">
        <f aca="false">IF(A320="","",INDEX(Lista_Meses,MONTH(A320)))</f>
        <v/>
      </c>
      <c r="I320" s="8" t="str">
        <f aca="false">IF(A320="","",YEAR(A320))</f>
        <v/>
      </c>
      <c r="J320" s="16"/>
    </row>
    <row r="321" customFormat="false" ht="15" hidden="false" customHeight="false" outlineLevel="0" collapsed="false">
      <c r="A321" s="15"/>
      <c r="B321" s="16"/>
      <c r="C321" s="16"/>
      <c r="D321" s="16"/>
      <c r="E321" s="16"/>
      <c r="F321" s="17"/>
      <c r="G321" s="16"/>
      <c r="H321" s="8" t="str">
        <f aca="false">IF(A321="","",INDEX(Lista_Meses,MONTH(A321)))</f>
        <v/>
      </c>
      <c r="I321" s="8" t="str">
        <f aca="false">IF(A321="","",YEAR(A321))</f>
        <v/>
      </c>
      <c r="J321" s="16"/>
    </row>
    <row r="322" customFormat="false" ht="15" hidden="false" customHeight="false" outlineLevel="0" collapsed="false">
      <c r="A322" s="15"/>
      <c r="B322" s="16"/>
      <c r="C322" s="16"/>
      <c r="D322" s="16"/>
      <c r="E322" s="16"/>
      <c r="F322" s="17"/>
      <c r="G322" s="16"/>
      <c r="H322" s="8" t="str">
        <f aca="false">IF(A322="","",INDEX(Lista_Meses,MONTH(A322)))</f>
        <v/>
      </c>
      <c r="I322" s="8" t="str">
        <f aca="false">IF(A322="","",YEAR(A322))</f>
        <v/>
      </c>
      <c r="J322" s="16"/>
    </row>
    <row r="323" customFormat="false" ht="15" hidden="false" customHeight="false" outlineLevel="0" collapsed="false">
      <c r="A323" s="15"/>
      <c r="B323" s="16"/>
      <c r="C323" s="16"/>
      <c r="D323" s="16"/>
      <c r="E323" s="16"/>
      <c r="F323" s="17"/>
      <c r="G323" s="16"/>
      <c r="H323" s="8" t="str">
        <f aca="false">IF(A323="","",INDEX(Lista_Meses,MONTH(A323)))</f>
        <v/>
      </c>
      <c r="I323" s="8" t="str">
        <f aca="false">IF(A323="","",YEAR(A323))</f>
        <v/>
      </c>
      <c r="J323" s="16"/>
    </row>
    <row r="324" customFormat="false" ht="15" hidden="false" customHeight="false" outlineLevel="0" collapsed="false">
      <c r="A324" s="15"/>
      <c r="B324" s="16"/>
      <c r="C324" s="16"/>
      <c r="D324" s="16"/>
      <c r="E324" s="16"/>
      <c r="F324" s="17"/>
      <c r="G324" s="16"/>
      <c r="H324" s="8" t="str">
        <f aca="false">IF(A324="","",INDEX(Lista_Meses,MONTH(A324)))</f>
        <v/>
      </c>
      <c r="I324" s="8" t="str">
        <f aca="false">IF(A324="","",YEAR(A324))</f>
        <v/>
      </c>
      <c r="J324" s="16"/>
    </row>
    <row r="325" customFormat="false" ht="15" hidden="false" customHeight="false" outlineLevel="0" collapsed="false">
      <c r="A325" s="15"/>
      <c r="B325" s="16"/>
      <c r="C325" s="16"/>
      <c r="D325" s="16"/>
      <c r="E325" s="16"/>
      <c r="F325" s="17"/>
      <c r="G325" s="16"/>
      <c r="H325" s="8" t="str">
        <f aca="false">IF(A325="","",INDEX(Lista_Meses,MONTH(A325)))</f>
        <v/>
      </c>
      <c r="I325" s="8" t="str">
        <f aca="false">IF(A325="","",YEAR(A325))</f>
        <v/>
      </c>
      <c r="J325" s="16"/>
    </row>
    <row r="326" customFormat="false" ht="15" hidden="false" customHeight="false" outlineLevel="0" collapsed="false">
      <c r="A326" s="15"/>
      <c r="B326" s="16"/>
      <c r="C326" s="16"/>
      <c r="D326" s="16"/>
      <c r="E326" s="16"/>
      <c r="F326" s="17"/>
      <c r="G326" s="16"/>
      <c r="H326" s="8" t="str">
        <f aca="false">IF(A326="","",INDEX(Lista_Meses,MONTH(A326)))</f>
        <v/>
      </c>
      <c r="I326" s="8" t="str">
        <f aca="false">IF(A326="","",YEAR(A326))</f>
        <v/>
      </c>
      <c r="J326" s="16"/>
    </row>
    <row r="327" customFormat="false" ht="15" hidden="false" customHeight="false" outlineLevel="0" collapsed="false">
      <c r="A327" s="15"/>
      <c r="B327" s="16"/>
      <c r="C327" s="16"/>
      <c r="D327" s="16"/>
      <c r="E327" s="16"/>
      <c r="F327" s="17"/>
      <c r="G327" s="16"/>
      <c r="H327" s="8" t="str">
        <f aca="false">IF(A327="","",INDEX(Lista_Meses,MONTH(A327)))</f>
        <v/>
      </c>
      <c r="I327" s="8" t="str">
        <f aca="false">IF(A327="","",YEAR(A327))</f>
        <v/>
      </c>
      <c r="J327" s="16"/>
    </row>
    <row r="328" customFormat="false" ht="15" hidden="false" customHeight="false" outlineLevel="0" collapsed="false">
      <c r="A328" s="15"/>
      <c r="B328" s="16"/>
      <c r="C328" s="16"/>
      <c r="D328" s="16"/>
      <c r="E328" s="16"/>
      <c r="F328" s="17"/>
      <c r="G328" s="16"/>
      <c r="H328" s="8" t="str">
        <f aca="false">IF(A328="","",INDEX(Lista_Meses,MONTH(A328)))</f>
        <v/>
      </c>
      <c r="I328" s="8" t="str">
        <f aca="false">IF(A328="","",YEAR(A328))</f>
        <v/>
      </c>
      <c r="J328" s="16"/>
    </row>
    <row r="329" customFormat="false" ht="15" hidden="false" customHeight="false" outlineLevel="0" collapsed="false">
      <c r="A329" s="15"/>
      <c r="B329" s="16"/>
      <c r="C329" s="16"/>
      <c r="D329" s="16"/>
      <c r="E329" s="16"/>
      <c r="F329" s="17"/>
      <c r="G329" s="16"/>
      <c r="H329" s="8" t="str">
        <f aca="false">IF(A329="","",INDEX(Lista_Meses,MONTH(A329)))</f>
        <v/>
      </c>
      <c r="I329" s="8" t="str">
        <f aca="false">IF(A329="","",YEAR(A329))</f>
        <v/>
      </c>
      <c r="J329" s="16"/>
    </row>
    <row r="330" customFormat="false" ht="15" hidden="false" customHeight="false" outlineLevel="0" collapsed="false">
      <c r="A330" s="15"/>
      <c r="B330" s="16"/>
      <c r="C330" s="16"/>
      <c r="D330" s="16"/>
      <c r="E330" s="16"/>
      <c r="F330" s="17"/>
      <c r="G330" s="16"/>
      <c r="H330" s="8" t="str">
        <f aca="false">IF(A330="","",INDEX(Lista_Meses,MONTH(A330)))</f>
        <v/>
      </c>
      <c r="I330" s="8" t="str">
        <f aca="false">IF(A330="","",YEAR(A330))</f>
        <v/>
      </c>
      <c r="J330" s="16"/>
    </row>
    <row r="331" customFormat="false" ht="15" hidden="false" customHeight="false" outlineLevel="0" collapsed="false">
      <c r="A331" s="15"/>
      <c r="B331" s="16"/>
      <c r="C331" s="16"/>
      <c r="D331" s="16"/>
      <c r="E331" s="16"/>
      <c r="F331" s="17"/>
      <c r="G331" s="16"/>
      <c r="H331" s="8" t="str">
        <f aca="false">IF(A331="","",INDEX(Lista_Meses,MONTH(A331)))</f>
        <v/>
      </c>
      <c r="I331" s="8" t="str">
        <f aca="false">IF(A331="","",YEAR(A331))</f>
        <v/>
      </c>
      <c r="J331" s="16"/>
    </row>
    <row r="332" customFormat="false" ht="15" hidden="false" customHeight="false" outlineLevel="0" collapsed="false">
      <c r="A332" s="15"/>
      <c r="B332" s="16"/>
      <c r="C332" s="16"/>
      <c r="D332" s="16"/>
      <c r="E332" s="16"/>
      <c r="F332" s="17"/>
      <c r="G332" s="16"/>
      <c r="H332" s="8" t="str">
        <f aca="false">IF(A332="","",INDEX(Lista_Meses,MONTH(A332)))</f>
        <v/>
      </c>
      <c r="I332" s="8" t="str">
        <f aca="false">IF(A332="","",YEAR(A332))</f>
        <v/>
      </c>
      <c r="J332" s="16"/>
    </row>
    <row r="333" customFormat="false" ht="15" hidden="false" customHeight="false" outlineLevel="0" collapsed="false">
      <c r="A333" s="15"/>
      <c r="B333" s="16"/>
      <c r="C333" s="16"/>
      <c r="D333" s="16"/>
      <c r="E333" s="16"/>
      <c r="F333" s="17"/>
      <c r="G333" s="16"/>
      <c r="H333" s="8" t="str">
        <f aca="false">IF(A333="","",INDEX(Lista_Meses,MONTH(A333)))</f>
        <v/>
      </c>
      <c r="I333" s="8" t="str">
        <f aca="false">IF(A333="","",YEAR(A333))</f>
        <v/>
      </c>
      <c r="J333" s="16"/>
    </row>
    <row r="334" customFormat="false" ht="15" hidden="false" customHeight="false" outlineLevel="0" collapsed="false">
      <c r="A334" s="15"/>
      <c r="B334" s="16"/>
      <c r="C334" s="16"/>
      <c r="D334" s="16"/>
      <c r="E334" s="16"/>
      <c r="F334" s="17"/>
      <c r="G334" s="16"/>
      <c r="H334" s="8" t="str">
        <f aca="false">IF(A334="","",INDEX(Lista_Meses,MONTH(A334)))</f>
        <v/>
      </c>
      <c r="I334" s="8" t="str">
        <f aca="false">IF(A334="","",YEAR(A334))</f>
        <v/>
      </c>
      <c r="J334" s="16"/>
    </row>
    <row r="335" customFormat="false" ht="15" hidden="false" customHeight="false" outlineLevel="0" collapsed="false">
      <c r="A335" s="15"/>
      <c r="B335" s="16"/>
      <c r="C335" s="16"/>
      <c r="D335" s="16"/>
      <c r="E335" s="16"/>
      <c r="F335" s="17"/>
      <c r="G335" s="16"/>
      <c r="H335" s="8" t="str">
        <f aca="false">IF(A335="","",INDEX(Lista_Meses,MONTH(A335)))</f>
        <v/>
      </c>
      <c r="I335" s="8" t="str">
        <f aca="false">IF(A335="","",YEAR(A335))</f>
        <v/>
      </c>
      <c r="J335" s="16"/>
    </row>
    <row r="336" customFormat="false" ht="15" hidden="false" customHeight="false" outlineLevel="0" collapsed="false">
      <c r="A336" s="15"/>
      <c r="B336" s="16"/>
      <c r="C336" s="16"/>
      <c r="D336" s="16"/>
      <c r="E336" s="16"/>
      <c r="F336" s="17"/>
      <c r="G336" s="16"/>
      <c r="H336" s="8" t="str">
        <f aca="false">IF(A336="","",INDEX(Lista_Meses,MONTH(A336)))</f>
        <v/>
      </c>
      <c r="I336" s="8" t="str">
        <f aca="false">IF(A336="","",YEAR(A336))</f>
        <v/>
      </c>
      <c r="J336" s="16"/>
    </row>
    <row r="337" customFormat="false" ht="15" hidden="false" customHeight="false" outlineLevel="0" collapsed="false">
      <c r="A337" s="15"/>
      <c r="B337" s="16"/>
      <c r="C337" s="16"/>
      <c r="D337" s="16"/>
      <c r="E337" s="16"/>
      <c r="F337" s="17"/>
      <c r="G337" s="16"/>
      <c r="H337" s="8" t="str">
        <f aca="false">IF(A337="","",INDEX(Lista_Meses,MONTH(A337)))</f>
        <v/>
      </c>
      <c r="I337" s="8" t="str">
        <f aca="false">IF(A337="","",YEAR(A337))</f>
        <v/>
      </c>
      <c r="J337" s="16"/>
    </row>
    <row r="338" customFormat="false" ht="15" hidden="false" customHeight="false" outlineLevel="0" collapsed="false">
      <c r="A338" s="15"/>
      <c r="B338" s="16"/>
      <c r="C338" s="16"/>
      <c r="D338" s="16"/>
      <c r="E338" s="16"/>
      <c r="F338" s="17"/>
      <c r="G338" s="16"/>
      <c r="H338" s="8" t="str">
        <f aca="false">IF(A338="","",INDEX(Lista_Meses,MONTH(A338)))</f>
        <v/>
      </c>
      <c r="I338" s="8" t="str">
        <f aca="false">IF(A338="","",YEAR(A338))</f>
        <v/>
      </c>
      <c r="J338" s="16"/>
    </row>
    <row r="339" customFormat="false" ht="15" hidden="false" customHeight="false" outlineLevel="0" collapsed="false">
      <c r="A339" s="15"/>
      <c r="B339" s="16"/>
      <c r="C339" s="16"/>
      <c r="D339" s="16"/>
      <c r="E339" s="16"/>
      <c r="F339" s="17"/>
      <c r="G339" s="16"/>
      <c r="H339" s="8" t="str">
        <f aca="false">IF(A339="","",INDEX(Lista_Meses,MONTH(A339)))</f>
        <v/>
      </c>
      <c r="I339" s="8" t="str">
        <f aca="false">IF(A339="","",YEAR(A339))</f>
        <v/>
      </c>
      <c r="J339" s="16"/>
    </row>
    <row r="340" customFormat="false" ht="15" hidden="false" customHeight="false" outlineLevel="0" collapsed="false">
      <c r="A340" s="15"/>
      <c r="B340" s="16"/>
      <c r="C340" s="16"/>
      <c r="D340" s="16"/>
      <c r="E340" s="16"/>
      <c r="F340" s="17"/>
      <c r="G340" s="16"/>
      <c r="H340" s="8" t="str">
        <f aca="false">IF(A340="","",INDEX(Lista_Meses,MONTH(A340)))</f>
        <v/>
      </c>
      <c r="I340" s="8" t="str">
        <f aca="false">IF(A340="","",YEAR(A340))</f>
        <v/>
      </c>
      <c r="J340" s="16"/>
    </row>
    <row r="341" customFormat="false" ht="15" hidden="false" customHeight="false" outlineLevel="0" collapsed="false">
      <c r="A341" s="15"/>
      <c r="B341" s="16"/>
      <c r="C341" s="16"/>
      <c r="D341" s="16"/>
      <c r="E341" s="16"/>
      <c r="F341" s="17"/>
      <c r="G341" s="16"/>
      <c r="H341" s="8" t="str">
        <f aca="false">IF(A341="","",INDEX(Lista_Meses,MONTH(A341)))</f>
        <v/>
      </c>
      <c r="I341" s="8" t="str">
        <f aca="false">IF(A341="","",YEAR(A341))</f>
        <v/>
      </c>
      <c r="J341" s="16"/>
    </row>
    <row r="342" customFormat="false" ht="15" hidden="false" customHeight="false" outlineLevel="0" collapsed="false">
      <c r="A342" s="15"/>
      <c r="B342" s="16"/>
      <c r="C342" s="16"/>
      <c r="D342" s="16"/>
      <c r="E342" s="16"/>
      <c r="F342" s="17"/>
      <c r="G342" s="16"/>
      <c r="H342" s="8" t="str">
        <f aca="false">IF(A342="","",INDEX(Lista_Meses,MONTH(A342)))</f>
        <v/>
      </c>
      <c r="I342" s="8" t="str">
        <f aca="false">IF(A342="","",YEAR(A342))</f>
        <v/>
      </c>
      <c r="J342" s="16"/>
    </row>
    <row r="343" customFormat="false" ht="15" hidden="false" customHeight="false" outlineLevel="0" collapsed="false">
      <c r="A343" s="15"/>
      <c r="B343" s="16"/>
      <c r="C343" s="16"/>
      <c r="D343" s="16"/>
      <c r="E343" s="16"/>
      <c r="F343" s="17"/>
      <c r="G343" s="16"/>
      <c r="H343" s="8" t="str">
        <f aca="false">IF(A343="","",INDEX(Lista_Meses,MONTH(A343)))</f>
        <v/>
      </c>
      <c r="I343" s="8" t="str">
        <f aca="false">IF(A343="","",YEAR(A343))</f>
        <v/>
      </c>
      <c r="J343" s="16"/>
    </row>
    <row r="344" customFormat="false" ht="15" hidden="false" customHeight="false" outlineLevel="0" collapsed="false">
      <c r="A344" s="15"/>
      <c r="B344" s="16"/>
      <c r="C344" s="16"/>
      <c r="D344" s="16"/>
      <c r="E344" s="16"/>
      <c r="F344" s="17"/>
      <c r="G344" s="16"/>
      <c r="H344" s="8" t="str">
        <f aca="false">IF(A344="","",INDEX(Lista_Meses,MONTH(A344)))</f>
        <v/>
      </c>
      <c r="I344" s="8" t="str">
        <f aca="false">IF(A344="","",YEAR(A344))</f>
        <v/>
      </c>
      <c r="J344" s="16"/>
    </row>
    <row r="345" customFormat="false" ht="15" hidden="false" customHeight="false" outlineLevel="0" collapsed="false">
      <c r="A345" s="15"/>
      <c r="B345" s="16"/>
      <c r="C345" s="16"/>
      <c r="D345" s="16"/>
      <c r="E345" s="16"/>
      <c r="F345" s="17"/>
      <c r="G345" s="16"/>
      <c r="H345" s="8" t="str">
        <f aca="false">IF(A345="","",INDEX(Lista_Meses,MONTH(A345)))</f>
        <v/>
      </c>
      <c r="I345" s="8" t="str">
        <f aca="false">IF(A345="","",YEAR(A345))</f>
        <v/>
      </c>
      <c r="J345" s="16"/>
    </row>
    <row r="346" customFormat="false" ht="15" hidden="false" customHeight="false" outlineLevel="0" collapsed="false">
      <c r="A346" s="15"/>
      <c r="B346" s="16"/>
      <c r="C346" s="16"/>
      <c r="D346" s="16"/>
      <c r="E346" s="16"/>
      <c r="F346" s="17"/>
      <c r="G346" s="16"/>
      <c r="H346" s="8" t="str">
        <f aca="false">IF(A346="","",INDEX(Lista_Meses,MONTH(A346)))</f>
        <v/>
      </c>
      <c r="I346" s="8" t="str">
        <f aca="false">IF(A346="","",YEAR(A346))</f>
        <v/>
      </c>
      <c r="J346" s="16"/>
    </row>
    <row r="347" customFormat="false" ht="15" hidden="false" customHeight="false" outlineLevel="0" collapsed="false">
      <c r="A347" s="15"/>
      <c r="B347" s="16"/>
      <c r="C347" s="16"/>
      <c r="D347" s="16"/>
      <c r="E347" s="16"/>
      <c r="F347" s="17"/>
      <c r="G347" s="16"/>
      <c r="H347" s="8" t="str">
        <f aca="false">IF(A347="","",INDEX(Lista_Meses,MONTH(A347)))</f>
        <v/>
      </c>
      <c r="I347" s="8" t="str">
        <f aca="false">IF(A347="","",YEAR(A347))</f>
        <v/>
      </c>
      <c r="J347" s="16"/>
    </row>
    <row r="348" customFormat="false" ht="15" hidden="false" customHeight="false" outlineLevel="0" collapsed="false">
      <c r="A348" s="15"/>
      <c r="B348" s="16"/>
      <c r="C348" s="16"/>
      <c r="D348" s="16"/>
      <c r="E348" s="16"/>
      <c r="F348" s="17"/>
      <c r="G348" s="16"/>
      <c r="H348" s="8" t="str">
        <f aca="false">IF(A348="","",INDEX(Lista_Meses,MONTH(A348)))</f>
        <v/>
      </c>
      <c r="I348" s="8" t="str">
        <f aca="false">IF(A348="","",YEAR(A348))</f>
        <v/>
      </c>
      <c r="J348" s="16"/>
    </row>
    <row r="349" customFormat="false" ht="15" hidden="false" customHeight="false" outlineLevel="0" collapsed="false">
      <c r="A349" s="15"/>
      <c r="B349" s="16"/>
      <c r="C349" s="16"/>
      <c r="D349" s="16"/>
      <c r="E349" s="16"/>
      <c r="F349" s="17"/>
      <c r="G349" s="16"/>
      <c r="H349" s="8" t="str">
        <f aca="false">IF(A349="","",INDEX(Lista_Meses,MONTH(A349)))</f>
        <v/>
      </c>
      <c r="I349" s="8" t="str">
        <f aca="false">IF(A349="","",YEAR(A349))</f>
        <v/>
      </c>
      <c r="J349" s="16"/>
    </row>
    <row r="350" customFormat="false" ht="15" hidden="false" customHeight="false" outlineLevel="0" collapsed="false">
      <c r="A350" s="15"/>
      <c r="B350" s="16"/>
      <c r="C350" s="16"/>
      <c r="D350" s="16"/>
      <c r="E350" s="16"/>
      <c r="F350" s="17"/>
      <c r="G350" s="16"/>
      <c r="H350" s="8" t="str">
        <f aca="false">IF(A350="","",INDEX(Lista_Meses,MONTH(A350)))</f>
        <v/>
      </c>
      <c r="I350" s="8" t="str">
        <f aca="false">IF(A350="","",YEAR(A350))</f>
        <v/>
      </c>
      <c r="J350" s="16"/>
    </row>
    <row r="351" customFormat="false" ht="15" hidden="false" customHeight="false" outlineLevel="0" collapsed="false">
      <c r="A351" s="15"/>
      <c r="B351" s="16"/>
      <c r="C351" s="16"/>
      <c r="D351" s="16"/>
      <c r="E351" s="16"/>
      <c r="F351" s="17"/>
      <c r="G351" s="16"/>
      <c r="H351" s="8" t="str">
        <f aca="false">IF(A351="","",INDEX(Lista_Meses,MONTH(A351)))</f>
        <v/>
      </c>
      <c r="I351" s="8" t="str">
        <f aca="false">IF(A351="","",YEAR(A351))</f>
        <v/>
      </c>
      <c r="J351" s="16"/>
    </row>
    <row r="352" customFormat="false" ht="15" hidden="false" customHeight="false" outlineLevel="0" collapsed="false">
      <c r="A352" s="15"/>
      <c r="B352" s="16"/>
      <c r="C352" s="16"/>
      <c r="D352" s="16"/>
      <c r="E352" s="16"/>
      <c r="F352" s="17"/>
      <c r="G352" s="16"/>
      <c r="H352" s="8" t="str">
        <f aca="false">IF(A352="","",INDEX(Lista_Meses,MONTH(A352)))</f>
        <v/>
      </c>
      <c r="I352" s="8" t="str">
        <f aca="false">IF(A352="","",YEAR(A352))</f>
        <v/>
      </c>
      <c r="J352" s="16"/>
    </row>
    <row r="353" customFormat="false" ht="15" hidden="false" customHeight="false" outlineLevel="0" collapsed="false">
      <c r="A353" s="15"/>
      <c r="B353" s="16"/>
      <c r="C353" s="16"/>
      <c r="D353" s="16"/>
      <c r="E353" s="16"/>
      <c r="F353" s="17"/>
      <c r="G353" s="16"/>
      <c r="H353" s="8" t="str">
        <f aca="false">IF(A353="","",INDEX(Lista_Meses,MONTH(A353)))</f>
        <v/>
      </c>
      <c r="I353" s="8" t="str">
        <f aca="false">IF(A353="","",YEAR(A353))</f>
        <v/>
      </c>
      <c r="J353" s="16"/>
    </row>
    <row r="354" customFormat="false" ht="15" hidden="false" customHeight="false" outlineLevel="0" collapsed="false">
      <c r="A354" s="15"/>
      <c r="B354" s="16"/>
      <c r="C354" s="16"/>
      <c r="D354" s="16"/>
      <c r="E354" s="16"/>
      <c r="F354" s="17"/>
      <c r="G354" s="16"/>
      <c r="H354" s="8" t="str">
        <f aca="false">IF(A354="","",INDEX(Lista_Meses,MONTH(A354)))</f>
        <v/>
      </c>
      <c r="I354" s="8" t="str">
        <f aca="false">IF(A354="","",YEAR(A354))</f>
        <v/>
      </c>
      <c r="J354" s="16"/>
    </row>
    <row r="355" customFormat="false" ht="15" hidden="false" customHeight="false" outlineLevel="0" collapsed="false">
      <c r="A355" s="15"/>
      <c r="B355" s="16"/>
      <c r="C355" s="16"/>
      <c r="D355" s="16"/>
      <c r="E355" s="16"/>
      <c r="F355" s="17"/>
      <c r="G355" s="16"/>
      <c r="H355" s="8" t="str">
        <f aca="false">IF(A355="","",INDEX(Lista_Meses,MONTH(A355)))</f>
        <v/>
      </c>
      <c r="I355" s="8" t="str">
        <f aca="false">IF(A355="","",YEAR(A355))</f>
        <v/>
      </c>
      <c r="J355" s="16"/>
    </row>
    <row r="356" customFormat="false" ht="15" hidden="false" customHeight="false" outlineLevel="0" collapsed="false">
      <c r="A356" s="15"/>
      <c r="B356" s="16"/>
      <c r="C356" s="16"/>
      <c r="D356" s="16"/>
      <c r="E356" s="16"/>
      <c r="F356" s="17"/>
      <c r="G356" s="16"/>
      <c r="H356" s="8" t="str">
        <f aca="false">IF(A356="","",INDEX(Lista_Meses,MONTH(A356)))</f>
        <v/>
      </c>
      <c r="I356" s="8" t="str">
        <f aca="false">IF(A356="","",YEAR(A356))</f>
        <v/>
      </c>
      <c r="J356" s="16"/>
    </row>
    <row r="357" customFormat="false" ht="15" hidden="false" customHeight="false" outlineLevel="0" collapsed="false">
      <c r="A357" s="15"/>
      <c r="B357" s="16"/>
      <c r="C357" s="16"/>
      <c r="D357" s="16"/>
      <c r="E357" s="16"/>
      <c r="F357" s="17"/>
      <c r="G357" s="16"/>
      <c r="H357" s="8" t="str">
        <f aca="false">IF(A357="","",INDEX(Lista_Meses,MONTH(A357)))</f>
        <v/>
      </c>
      <c r="I357" s="8" t="str">
        <f aca="false">IF(A357="","",YEAR(A357))</f>
        <v/>
      </c>
      <c r="J357" s="16"/>
    </row>
    <row r="358" customFormat="false" ht="15" hidden="false" customHeight="false" outlineLevel="0" collapsed="false">
      <c r="A358" s="15"/>
      <c r="B358" s="16"/>
      <c r="C358" s="16"/>
      <c r="D358" s="16"/>
      <c r="E358" s="16"/>
      <c r="F358" s="17"/>
      <c r="G358" s="16"/>
      <c r="H358" s="8" t="str">
        <f aca="false">IF(A358="","",INDEX(Lista_Meses,MONTH(A358)))</f>
        <v/>
      </c>
      <c r="I358" s="8" t="str">
        <f aca="false">IF(A358="","",YEAR(A358))</f>
        <v/>
      </c>
      <c r="J358" s="16"/>
    </row>
    <row r="359" customFormat="false" ht="15" hidden="false" customHeight="false" outlineLevel="0" collapsed="false">
      <c r="A359" s="15"/>
      <c r="B359" s="16"/>
      <c r="C359" s="16"/>
      <c r="D359" s="16"/>
      <c r="E359" s="16"/>
      <c r="F359" s="17"/>
      <c r="G359" s="16"/>
      <c r="H359" s="8" t="str">
        <f aca="false">IF(A359="","",INDEX(Lista_Meses,MONTH(A359)))</f>
        <v/>
      </c>
      <c r="I359" s="8" t="str">
        <f aca="false">IF(A359="","",YEAR(A359))</f>
        <v/>
      </c>
      <c r="J359" s="16"/>
    </row>
    <row r="360" customFormat="false" ht="15" hidden="false" customHeight="false" outlineLevel="0" collapsed="false">
      <c r="A360" s="15"/>
      <c r="B360" s="16"/>
      <c r="C360" s="16"/>
      <c r="D360" s="16"/>
      <c r="E360" s="16"/>
      <c r="F360" s="17"/>
      <c r="G360" s="16"/>
      <c r="H360" s="8" t="str">
        <f aca="false">IF(A360="","",INDEX(Lista_Meses,MONTH(A360)))</f>
        <v/>
      </c>
      <c r="I360" s="8" t="str">
        <f aca="false">IF(A360="","",YEAR(A360))</f>
        <v/>
      </c>
      <c r="J360" s="16"/>
    </row>
    <row r="361" customFormat="false" ht="15" hidden="false" customHeight="false" outlineLevel="0" collapsed="false">
      <c r="A361" s="15"/>
      <c r="B361" s="16"/>
      <c r="C361" s="16"/>
      <c r="D361" s="16"/>
      <c r="E361" s="16"/>
      <c r="F361" s="17"/>
      <c r="G361" s="16"/>
      <c r="H361" s="8" t="str">
        <f aca="false">IF(A361="","",INDEX(Lista_Meses,MONTH(A361)))</f>
        <v/>
      </c>
      <c r="I361" s="8" t="str">
        <f aca="false">IF(A361="","",YEAR(A361))</f>
        <v/>
      </c>
      <c r="J361" s="16"/>
    </row>
    <row r="362" customFormat="false" ht="15" hidden="false" customHeight="false" outlineLevel="0" collapsed="false">
      <c r="A362" s="15"/>
      <c r="B362" s="16"/>
      <c r="C362" s="16"/>
      <c r="D362" s="16"/>
      <c r="E362" s="16"/>
      <c r="F362" s="17"/>
      <c r="G362" s="16"/>
      <c r="H362" s="8" t="str">
        <f aca="false">IF(A362="","",INDEX(Lista_Meses,MONTH(A362)))</f>
        <v/>
      </c>
      <c r="I362" s="8" t="str">
        <f aca="false">IF(A362="","",YEAR(A362))</f>
        <v/>
      </c>
      <c r="J362" s="16"/>
    </row>
    <row r="363" customFormat="false" ht="15" hidden="false" customHeight="false" outlineLevel="0" collapsed="false">
      <c r="A363" s="15"/>
      <c r="B363" s="16"/>
      <c r="C363" s="16"/>
      <c r="D363" s="16"/>
      <c r="E363" s="16"/>
      <c r="F363" s="17"/>
      <c r="G363" s="16"/>
      <c r="H363" s="8" t="str">
        <f aca="false">IF(A363="","",INDEX(Lista_Meses,MONTH(A363)))</f>
        <v/>
      </c>
      <c r="I363" s="8" t="str">
        <f aca="false">IF(A363="","",YEAR(A363))</f>
        <v/>
      </c>
      <c r="J363" s="16"/>
    </row>
    <row r="364" customFormat="false" ht="15" hidden="false" customHeight="false" outlineLevel="0" collapsed="false">
      <c r="A364" s="15"/>
      <c r="B364" s="16"/>
      <c r="C364" s="16"/>
      <c r="D364" s="16"/>
      <c r="E364" s="16"/>
      <c r="F364" s="17"/>
      <c r="G364" s="16"/>
      <c r="H364" s="8" t="str">
        <f aca="false">IF(A364="","",INDEX(Lista_Meses,MONTH(A364)))</f>
        <v/>
      </c>
      <c r="I364" s="8" t="str">
        <f aca="false">IF(A364="","",YEAR(A364))</f>
        <v/>
      </c>
      <c r="J364" s="16"/>
    </row>
    <row r="365" customFormat="false" ht="15" hidden="false" customHeight="false" outlineLevel="0" collapsed="false">
      <c r="A365" s="15"/>
      <c r="B365" s="16"/>
      <c r="C365" s="16"/>
      <c r="D365" s="16"/>
      <c r="E365" s="16"/>
      <c r="F365" s="17"/>
      <c r="G365" s="16"/>
      <c r="H365" s="8" t="str">
        <f aca="false">IF(A365="","",INDEX(Lista_Meses,MONTH(A365)))</f>
        <v/>
      </c>
      <c r="I365" s="8" t="str">
        <f aca="false">IF(A365="","",YEAR(A365))</f>
        <v/>
      </c>
      <c r="J365" s="16"/>
    </row>
    <row r="366" customFormat="false" ht="15" hidden="false" customHeight="false" outlineLevel="0" collapsed="false">
      <c r="A366" s="15"/>
      <c r="B366" s="16"/>
      <c r="C366" s="16"/>
      <c r="D366" s="16"/>
      <c r="E366" s="16"/>
      <c r="F366" s="17"/>
      <c r="G366" s="16"/>
      <c r="H366" s="8" t="str">
        <f aca="false">IF(A366="","",INDEX(Lista_Meses,MONTH(A366)))</f>
        <v/>
      </c>
      <c r="I366" s="8" t="str">
        <f aca="false">IF(A366="","",YEAR(A366))</f>
        <v/>
      </c>
      <c r="J366" s="16"/>
    </row>
    <row r="367" customFormat="false" ht="15" hidden="false" customHeight="false" outlineLevel="0" collapsed="false">
      <c r="A367" s="15"/>
      <c r="B367" s="16"/>
      <c r="C367" s="16"/>
      <c r="D367" s="16"/>
      <c r="E367" s="16"/>
      <c r="F367" s="17"/>
      <c r="G367" s="16"/>
      <c r="H367" s="8" t="str">
        <f aca="false">IF(A367="","",INDEX(Lista_Meses,MONTH(A367)))</f>
        <v/>
      </c>
      <c r="I367" s="8" t="str">
        <f aca="false">IF(A367="","",YEAR(A367))</f>
        <v/>
      </c>
      <c r="J367" s="16"/>
    </row>
    <row r="368" customFormat="false" ht="15" hidden="false" customHeight="false" outlineLevel="0" collapsed="false">
      <c r="A368" s="15"/>
      <c r="B368" s="16"/>
      <c r="C368" s="16"/>
      <c r="D368" s="16"/>
      <c r="E368" s="16"/>
      <c r="F368" s="17"/>
      <c r="G368" s="16"/>
      <c r="H368" s="8" t="str">
        <f aca="false">IF(A368="","",INDEX(Lista_Meses,MONTH(A368)))</f>
        <v/>
      </c>
      <c r="I368" s="8" t="str">
        <f aca="false">IF(A368="","",YEAR(A368))</f>
        <v/>
      </c>
      <c r="J368" s="16"/>
    </row>
    <row r="369" customFormat="false" ht="15" hidden="false" customHeight="false" outlineLevel="0" collapsed="false">
      <c r="A369" s="15"/>
      <c r="B369" s="16"/>
      <c r="C369" s="16"/>
      <c r="D369" s="16"/>
      <c r="E369" s="16"/>
      <c r="F369" s="17"/>
      <c r="G369" s="16"/>
      <c r="H369" s="8" t="str">
        <f aca="false">IF(A369="","",INDEX(Lista_Meses,MONTH(A369)))</f>
        <v/>
      </c>
      <c r="I369" s="8" t="str">
        <f aca="false">IF(A369="","",YEAR(A369))</f>
        <v/>
      </c>
      <c r="J369" s="16"/>
    </row>
    <row r="370" customFormat="false" ht="15" hidden="false" customHeight="false" outlineLevel="0" collapsed="false">
      <c r="A370" s="15"/>
      <c r="B370" s="16"/>
      <c r="C370" s="16"/>
      <c r="D370" s="16"/>
      <c r="E370" s="16"/>
      <c r="F370" s="17"/>
      <c r="G370" s="16"/>
      <c r="H370" s="8" t="str">
        <f aca="false">IF(A370="","",INDEX(Lista_Meses,MONTH(A370)))</f>
        <v/>
      </c>
      <c r="I370" s="8" t="str">
        <f aca="false">IF(A370="","",YEAR(A370))</f>
        <v/>
      </c>
      <c r="J370" s="16"/>
    </row>
    <row r="371" customFormat="false" ht="15" hidden="false" customHeight="false" outlineLevel="0" collapsed="false">
      <c r="A371" s="15"/>
      <c r="B371" s="16"/>
      <c r="C371" s="16"/>
      <c r="D371" s="16"/>
      <c r="E371" s="16"/>
      <c r="F371" s="17"/>
      <c r="G371" s="16"/>
      <c r="H371" s="8" t="str">
        <f aca="false">IF(A371="","",INDEX(Lista_Meses,MONTH(A371)))</f>
        <v/>
      </c>
      <c r="I371" s="8" t="str">
        <f aca="false">IF(A371="","",YEAR(A371))</f>
        <v/>
      </c>
      <c r="J371" s="16"/>
    </row>
    <row r="372" customFormat="false" ht="15" hidden="false" customHeight="false" outlineLevel="0" collapsed="false">
      <c r="A372" s="15"/>
      <c r="B372" s="16"/>
      <c r="C372" s="16"/>
      <c r="D372" s="16"/>
      <c r="E372" s="16"/>
      <c r="F372" s="17"/>
      <c r="G372" s="16"/>
      <c r="H372" s="8" t="str">
        <f aca="false">IF(A372="","",INDEX(Lista_Meses,MONTH(A372)))</f>
        <v/>
      </c>
      <c r="I372" s="8" t="str">
        <f aca="false">IF(A372="","",YEAR(A372))</f>
        <v/>
      </c>
      <c r="J372" s="16"/>
    </row>
    <row r="373" customFormat="false" ht="15" hidden="false" customHeight="false" outlineLevel="0" collapsed="false">
      <c r="A373" s="15"/>
      <c r="B373" s="16"/>
      <c r="C373" s="16"/>
      <c r="D373" s="16"/>
      <c r="E373" s="16"/>
      <c r="F373" s="17"/>
      <c r="G373" s="16"/>
      <c r="H373" s="8" t="str">
        <f aca="false">IF(A373="","",INDEX(Lista_Meses,MONTH(A373)))</f>
        <v/>
      </c>
      <c r="I373" s="8" t="str">
        <f aca="false">IF(A373="","",YEAR(A373))</f>
        <v/>
      </c>
      <c r="J373" s="16"/>
    </row>
    <row r="374" customFormat="false" ht="15" hidden="false" customHeight="false" outlineLevel="0" collapsed="false">
      <c r="A374" s="15"/>
      <c r="B374" s="16"/>
      <c r="C374" s="16"/>
      <c r="D374" s="16"/>
      <c r="E374" s="16"/>
      <c r="F374" s="17"/>
      <c r="G374" s="16"/>
      <c r="H374" s="8" t="str">
        <f aca="false">IF(A374="","",INDEX(Lista_Meses,MONTH(A374)))</f>
        <v/>
      </c>
      <c r="I374" s="8" t="str">
        <f aca="false">IF(A374="","",YEAR(A374))</f>
        <v/>
      </c>
      <c r="J374" s="16"/>
    </row>
    <row r="375" customFormat="false" ht="15" hidden="false" customHeight="false" outlineLevel="0" collapsed="false">
      <c r="A375" s="15"/>
      <c r="B375" s="16"/>
      <c r="C375" s="16"/>
      <c r="D375" s="16"/>
      <c r="E375" s="16"/>
      <c r="F375" s="17"/>
      <c r="G375" s="16"/>
      <c r="H375" s="8" t="str">
        <f aca="false">IF(A375="","",INDEX(Lista_Meses,MONTH(A375)))</f>
        <v/>
      </c>
      <c r="I375" s="8" t="str">
        <f aca="false">IF(A375="","",YEAR(A375))</f>
        <v/>
      </c>
      <c r="J375" s="16"/>
    </row>
    <row r="376" customFormat="false" ht="15" hidden="false" customHeight="false" outlineLevel="0" collapsed="false">
      <c r="A376" s="15"/>
      <c r="B376" s="16"/>
      <c r="C376" s="16"/>
      <c r="D376" s="16"/>
      <c r="E376" s="16"/>
      <c r="F376" s="17"/>
      <c r="G376" s="16"/>
      <c r="H376" s="8" t="str">
        <f aca="false">IF(A376="","",INDEX(Lista_Meses,MONTH(A376)))</f>
        <v/>
      </c>
      <c r="I376" s="8" t="str">
        <f aca="false">IF(A376="","",YEAR(A376))</f>
        <v/>
      </c>
      <c r="J376" s="16"/>
    </row>
    <row r="377" customFormat="false" ht="15" hidden="false" customHeight="false" outlineLevel="0" collapsed="false">
      <c r="A377" s="15"/>
      <c r="B377" s="16"/>
      <c r="C377" s="16"/>
      <c r="D377" s="16"/>
      <c r="E377" s="16"/>
      <c r="F377" s="17"/>
      <c r="G377" s="16"/>
      <c r="H377" s="8" t="str">
        <f aca="false">IF(A377="","",INDEX(Lista_Meses,MONTH(A377)))</f>
        <v/>
      </c>
      <c r="I377" s="8" t="str">
        <f aca="false">IF(A377="","",YEAR(A377))</f>
        <v/>
      </c>
      <c r="J377" s="16"/>
    </row>
    <row r="378" customFormat="false" ht="15" hidden="false" customHeight="false" outlineLevel="0" collapsed="false">
      <c r="A378" s="15"/>
      <c r="B378" s="16"/>
      <c r="C378" s="16"/>
      <c r="D378" s="16"/>
      <c r="E378" s="16"/>
      <c r="F378" s="17"/>
      <c r="G378" s="16"/>
      <c r="H378" s="8" t="str">
        <f aca="false">IF(A378="","",INDEX(Lista_Meses,MONTH(A378)))</f>
        <v/>
      </c>
      <c r="I378" s="8" t="str">
        <f aca="false">IF(A378="","",YEAR(A378))</f>
        <v/>
      </c>
      <c r="J378" s="16"/>
    </row>
    <row r="379" customFormat="false" ht="15" hidden="false" customHeight="false" outlineLevel="0" collapsed="false">
      <c r="A379" s="15"/>
      <c r="B379" s="16"/>
      <c r="C379" s="16"/>
      <c r="D379" s="16"/>
      <c r="E379" s="16"/>
      <c r="F379" s="17"/>
      <c r="G379" s="16"/>
      <c r="H379" s="8" t="str">
        <f aca="false">IF(A379="","",INDEX(Lista_Meses,MONTH(A379)))</f>
        <v/>
      </c>
      <c r="I379" s="8" t="str">
        <f aca="false">IF(A379="","",YEAR(A379))</f>
        <v/>
      </c>
      <c r="J379" s="16"/>
    </row>
    <row r="380" customFormat="false" ht="15" hidden="false" customHeight="false" outlineLevel="0" collapsed="false">
      <c r="A380" s="15"/>
      <c r="B380" s="16"/>
      <c r="C380" s="16"/>
      <c r="D380" s="16"/>
      <c r="E380" s="16"/>
      <c r="F380" s="17"/>
      <c r="G380" s="16"/>
      <c r="H380" s="8" t="str">
        <f aca="false">IF(A380="","",INDEX(Lista_Meses,MONTH(A380)))</f>
        <v/>
      </c>
      <c r="I380" s="8" t="str">
        <f aca="false">IF(A380="","",YEAR(A380))</f>
        <v/>
      </c>
      <c r="J380" s="16"/>
    </row>
    <row r="381" customFormat="false" ht="15" hidden="false" customHeight="false" outlineLevel="0" collapsed="false">
      <c r="A381" s="15"/>
      <c r="B381" s="16"/>
      <c r="C381" s="16"/>
      <c r="D381" s="16"/>
      <c r="E381" s="16"/>
      <c r="F381" s="17"/>
      <c r="G381" s="16"/>
      <c r="H381" s="8" t="str">
        <f aca="false">IF(A381="","",INDEX(Lista_Meses,MONTH(A381)))</f>
        <v/>
      </c>
      <c r="I381" s="8" t="str">
        <f aca="false">IF(A381="","",YEAR(A381))</f>
        <v/>
      </c>
      <c r="J381" s="16"/>
    </row>
    <row r="382" customFormat="false" ht="15" hidden="false" customHeight="false" outlineLevel="0" collapsed="false">
      <c r="A382" s="15"/>
      <c r="B382" s="16"/>
      <c r="C382" s="16"/>
      <c r="D382" s="16"/>
      <c r="E382" s="16"/>
      <c r="F382" s="17"/>
      <c r="G382" s="16"/>
      <c r="H382" s="8" t="str">
        <f aca="false">IF(A382="","",INDEX(Lista_Meses,MONTH(A382)))</f>
        <v/>
      </c>
      <c r="I382" s="8" t="str">
        <f aca="false">IF(A382="","",YEAR(A382))</f>
        <v/>
      </c>
      <c r="J382" s="16"/>
    </row>
    <row r="383" customFormat="false" ht="15" hidden="false" customHeight="false" outlineLevel="0" collapsed="false">
      <c r="A383" s="15"/>
      <c r="B383" s="16"/>
      <c r="C383" s="16"/>
      <c r="D383" s="16"/>
      <c r="E383" s="16"/>
      <c r="F383" s="17"/>
      <c r="G383" s="16"/>
      <c r="H383" s="8" t="str">
        <f aca="false">IF(A383="","",INDEX(Lista_Meses,MONTH(A383)))</f>
        <v/>
      </c>
      <c r="I383" s="8" t="str">
        <f aca="false">IF(A383="","",YEAR(A383))</f>
        <v/>
      </c>
      <c r="J383" s="16"/>
    </row>
    <row r="384" customFormat="false" ht="15" hidden="false" customHeight="false" outlineLevel="0" collapsed="false">
      <c r="A384" s="15"/>
      <c r="B384" s="16"/>
      <c r="C384" s="16"/>
      <c r="D384" s="16"/>
      <c r="E384" s="16"/>
      <c r="F384" s="17"/>
      <c r="G384" s="16"/>
      <c r="H384" s="8" t="str">
        <f aca="false">IF(A384="","",INDEX(Lista_Meses,MONTH(A384)))</f>
        <v/>
      </c>
      <c r="I384" s="8" t="str">
        <f aca="false">IF(A384="","",YEAR(A384))</f>
        <v/>
      </c>
      <c r="J384" s="16"/>
    </row>
    <row r="385" customFormat="false" ht="15" hidden="false" customHeight="false" outlineLevel="0" collapsed="false">
      <c r="A385" s="15"/>
      <c r="B385" s="16"/>
      <c r="C385" s="16"/>
      <c r="D385" s="16"/>
      <c r="E385" s="16"/>
      <c r="F385" s="17"/>
      <c r="G385" s="16"/>
      <c r="H385" s="8" t="str">
        <f aca="false">IF(A385="","",INDEX(Lista_Meses,MONTH(A385)))</f>
        <v/>
      </c>
      <c r="I385" s="8" t="str">
        <f aca="false">IF(A385="","",YEAR(A385))</f>
        <v/>
      </c>
      <c r="J385" s="16"/>
    </row>
    <row r="386" customFormat="false" ht="15" hidden="false" customHeight="false" outlineLevel="0" collapsed="false">
      <c r="A386" s="15"/>
      <c r="B386" s="16"/>
      <c r="C386" s="16"/>
      <c r="D386" s="16"/>
      <c r="E386" s="16"/>
      <c r="F386" s="17"/>
      <c r="G386" s="16"/>
      <c r="H386" s="8" t="str">
        <f aca="false">IF(A386="","",INDEX(Lista_Meses,MONTH(A386)))</f>
        <v/>
      </c>
      <c r="I386" s="8" t="str">
        <f aca="false">IF(A386="","",YEAR(A386))</f>
        <v/>
      </c>
      <c r="J386" s="16"/>
    </row>
    <row r="387" customFormat="false" ht="15" hidden="false" customHeight="false" outlineLevel="0" collapsed="false">
      <c r="A387" s="15"/>
      <c r="B387" s="16"/>
      <c r="C387" s="16"/>
      <c r="D387" s="16"/>
      <c r="E387" s="16"/>
      <c r="F387" s="17"/>
      <c r="G387" s="16"/>
      <c r="H387" s="8" t="str">
        <f aca="false">IF(A387="","",INDEX(Lista_Meses,MONTH(A387)))</f>
        <v/>
      </c>
      <c r="I387" s="8" t="str">
        <f aca="false">IF(A387="","",YEAR(A387))</f>
        <v/>
      </c>
      <c r="J387" s="16"/>
    </row>
    <row r="388" customFormat="false" ht="15" hidden="false" customHeight="false" outlineLevel="0" collapsed="false">
      <c r="A388" s="15"/>
      <c r="B388" s="16"/>
      <c r="C388" s="16"/>
      <c r="D388" s="16"/>
      <c r="E388" s="16"/>
      <c r="F388" s="17"/>
      <c r="G388" s="16"/>
      <c r="H388" s="8" t="str">
        <f aca="false">IF(A388="","",INDEX(Lista_Meses,MONTH(A388)))</f>
        <v/>
      </c>
      <c r="I388" s="8" t="str">
        <f aca="false">IF(A388="","",YEAR(A388))</f>
        <v/>
      </c>
      <c r="J388" s="16"/>
    </row>
    <row r="389" customFormat="false" ht="15" hidden="false" customHeight="false" outlineLevel="0" collapsed="false">
      <c r="A389" s="15"/>
      <c r="B389" s="16"/>
      <c r="C389" s="16"/>
      <c r="D389" s="16"/>
      <c r="E389" s="16"/>
      <c r="F389" s="17"/>
      <c r="G389" s="16"/>
      <c r="H389" s="8" t="str">
        <f aca="false">IF(A389="","",INDEX(Lista_Meses,MONTH(A389)))</f>
        <v/>
      </c>
      <c r="I389" s="8" t="str">
        <f aca="false">IF(A389="","",YEAR(A389))</f>
        <v/>
      </c>
      <c r="J389" s="16"/>
    </row>
    <row r="390" customFormat="false" ht="15" hidden="false" customHeight="false" outlineLevel="0" collapsed="false">
      <c r="A390" s="15"/>
      <c r="B390" s="16"/>
      <c r="C390" s="16"/>
      <c r="D390" s="16"/>
      <c r="E390" s="16"/>
      <c r="F390" s="17"/>
      <c r="G390" s="16"/>
      <c r="H390" s="8" t="str">
        <f aca="false">IF(A390="","",INDEX(Lista_Meses,MONTH(A390)))</f>
        <v/>
      </c>
      <c r="I390" s="8" t="str">
        <f aca="false">IF(A390="","",YEAR(A390))</f>
        <v/>
      </c>
      <c r="J390" s="16"/>
    </row>
    <row r="391" customFormat="false" ht="15" hidden="false" customHeight="false" outlineLevel="0" collapsed="false">
      <c r="A391" s="15"/>
      <c r="B391" s="16"/>
      <c r="C391" s="16"/>
      <c r="D391" s="16"/>
      <c r="E391" s="16"/>
      <c r="F391" s="17"/>
      <c r="G391" s="16"/>
      <c r="H391" s="8" t="str">
        <f aca="false">IF(A391="","",INDEX(Lista_Meses,MONTH(A391)))</f>
        <v/>
      </c>
      <c r="I391" s="8" t="str">
        <f aca="false">IF(A391="","",YEAR(A391))</f>
        <v/>
      </c>
      <c r="J391" s="16"/>
    </row>
    <row r="392" customFormat="false" ht="15" hidden="false" customHeight="false" outlineLevel="0" collapsed="false">
      <c r="A392" s="15"/>
      <c r="B392" s="16"/>
      <c r="C392" s="16"/>
      <c r="D392" s="16"/>
      <c r="E392" s="16"/>
      <c r="F392" s="17"/>
      <c r="G392" s="16"/>
      <c r="H392" s="8" t="str">
        <f aca="false">IF(A392="","",INDEX(Lista_Meses,MONTH(A392)))</f>
        <v/>
      </c>
      <c r="I392" s="8" t="str">
        <f aca="false">IF(A392="","",YEAR(A392))</f>
        <v/>
      </c>
      <c r="J392" s="16"/>
    </row>
    <row r="393" customFormat="false" ht="15" hidden="false" customHeight="false" outlineLevel="0" collapsed="false">
      <c r="A393" s="15"/>
      <c r="B393" s="16"/>
      <c r="C393" s="16"/>
      <c r="D393" s="16"/>
      <c r="E393" s="16"/>
      <c r="F393" s="17"/>
      <c r="G393" s="16"/>
      <c r="H393" s="8" t="str">
        <f aca="false">IF(A393="","",INDEX(Lista_Meses,MONTH(A393)))</f>
        <v/>
      </c>
      <c r="I393" s="8" t="str">
        <f aca="false">IF(A393="","",YEAR(A393))</f>
        <v/>
      </c>
      <c r="J393" s="16"/>
    </row>
    <row r="394" customFormat="false" ht="15" hidden="false" customHeight="false" outlineLevel="0" collapsed="false">
      <c r="A394" s="15"/>
      <c r="B394" s="16"/>
      <c r="C394" s="16"/>
      <c r="D394" s="16"/>
      <c r="E394" s="16"/>
      <c r="F394" s="17"/>
      <c r="G394" s="16"/>
      <c r="H394" s="8" t="str">
        <f aca="false">IF(A394="","",INDEX(Lista_Meses,MONTH(A394)))</f>
        <v/>
      </c>
      <c r="I394" s="8" t="str">
        <f aca="false">IF(A394="","",YEAR(A394))</f>
        <v/>
      </c>
      <c r="J394" s="16"/>
    </row>
    <row r="395" customFormat="false" ht="15" hidden="false" customHeight="false" outlineLevel="0" collapsed="false">
      <c r="A395" s="15"/>
      <c r="B395" s="16"/>
      <c r="C395" s="16"/>
      <c r="D395" s="16"/>
      <c r="E395" s="16"/>
      <c r="F395" s="17"/>
      <c r="G395" s="16"/>
      <c r="H395" s="8" t="str">
        <f aca="false">IF(A395="","",INDEX(Lista_Meses,MONTH(A395)))</f>
        <v/>
      </c>
      <c r="I395" s="8" t="str">
        <f aca="false">IF(A395="","",YEAR(A395))</f>
        <v/>
      </c>
      <c r="J395" s="16"/>
    </row>
    <row r="396" customFormat="false" ht="15" hidden="false" customHeight="false" outlineLevel="0" collapsed="false">
      <c r="A396" s="15"/>
      <c r="B396" s="16"/>
      <c r="C396" s="16"/>
      <c r="D396" s="16"/>
      <c r="E396" s="16"/>
      <c r="F396" s="17"/>
      <c r="G396" s="16"/>
      <c r="H396" s="8" t="str">
        <f aca="false">IF(A396="","",INDEX(Lista_Meses,MONTH(A396)))</f>
        <v/>
      </c>
      <c r="I396" s="8" t="str">
        <f aca="false">IF(A396="","",YEAR(A396))</f>
        <v/>
      </c>
      <c r="J396" s="16"/>
    </row>
    <row r="397" customFormat="false" ht="15" hidden="false" customHeight="false" outlineLevel="0" collapsed="false">
      <c r="A397" s="15"/>
      <c r="B397" s="16"/>
      <c r="C397" s="16"/>
      <c r="D397" s="16"/>
      <c r="E397" s="16"/>
      <c r="F397" s="17"/>
      <c r="G397" s="16"/>
      <c r="H397" s="8" t="str">
        <f aca="false">IF(A397="","",INDEX(Lista_Meses,MONTH(A397)))</f>
        <v/>
      </c>
      <c r="I397" s="8" t="str">
        <f aca="false">IF(A397="","",YEAR(A397))</f>
        <v/>
      </c>
      <c r="J397" s="16"/>
    </row>
    <row r="398" customFormat="false" ht="15" hidden="false" customHeight="false" outlineLevel="0" collapsed="false">
      <c r="A398" s="15"/>
      <c r="B398" s="16"/>
      <c r="C398" s="16"/>
      <c r="D398" s="16"/>
      <c r="E398" s="16"/>
      <c r="F398" s="17"/>
      <c r="G398" s="16"/>
      <c r="H398" s="8" t="str">
        <f aca="false">IF(A398="","",INDEX(Lista_Meses,MONTH(A398)))</f>
        <v/>
      </c>
      <c r="I398" s="8" t="str">
        <f aca="false">IF(A398="","",YEAR(A398))</f>
        <v/>
      </c>
      <c r="J398" s="16"/>
    </row>
    <row r="399" customFormat="false" ht="15" hidden="false" customHeight="false" outlineLevel="0" collapsed="false">
      <c r="A399" s="15"/>
      <c r="B399" s="16"/>
      <c r="C399" s="16"/>
      <c r="D399" s="16"/>
      <c r="E399" s="16"/>
      <c r="F399" s="17"/>
      <c r="G399" s="16"/>
      <c r="H399" s="8" t="str">
        <f aca="false">IF(A399="","",INDEX(Lista_Meses,MONTH(A399)))</f>
        <v/>
      </c>
      <c r="I399" s="8" t="str">
        <f aca="false">IF(A399="","",YEAR(A399))</f>
        <v/>
      </c>
      <c r="J399" s="16"/>
    </row>
    <row r="400" customFormat="false" ht="15" hidden="false" customHeight="false" outlineLevel="0" collapsed="false">
      <c r="A400" s="15"/>
      <c r="B400" s="16"/>
      <c r="C400" s="16"/>
      <c r="D400" s="16"/>
      <c r="E400" s="16"/>
      <c r="F400" s="17"/>
      <c r="G400" s="16"/>
      <c r="H400" s="8" t="str">
        <f aca="false">IF(A400="","",INDEX(Lista_Meses,MONTH(A400)))</f>
        <v/>
      </c>
      <c r="I400" s="8" t="str">
        <f aca="false">IF(A400="","",YEAR(A400))</f>
        <v/>
      </c>
      <c r="J400" s="16"/>
    </row>
  </sheetData>
  <mergeCells count="2">
    <mergeCell ref="A1:J1"/>
    <mergeCell ref="A2:J2"/>
  </mergeCells>
  <conditionalFormatting sqref="D4:D400">
    <cfRule type="expression" priority="2" aboveAverage="0" equalAverage="0" bottom="0" percent="0" rank="0" text="" dxfId="1">
      <formula>D4="Receita"</formula>
    </cfRule>
    <cfRule type="expression" priority="3" aboveAverage="0" equalAverage="0" bottom="0" percent="0" rank="0" text="" dxfId="2">
      <formula>D4="Despesa"</formula>
    </cfRule>
  </conditionalFormatting>
  <dataValidations count="4">
    <dataValidation allowBlank="true" errorStyle="stop" operator="between" showDropDown="false" showErrorMessage="false" showInputMessage="false" sqref="C4:C400" type="list">
      <formula1>Lista_TodasCategorias</formula1>
      <formula2>0</formula2>
    </dataValidation>
    <dataValidation allowBlank="true" errorStyle="stop" operator="between" showDropDown="false" showErrorMessage="false" showInputMessage="false" sqref="D4:D400" type="list">
      <formula1>Lista_Tipo</formula1>
      <formula2>0</formula2>
    </dataValidation>
    <dataValidation allowBlank="true" errorStyle="stop" operator="between" showDropDown="false" showErrorMessage="false" showInputMessage="false" sqref="E4:E400" type="list">
      <formula1>Lista_FormaPgto</formula1>
      <formula2>0</formula2>
    </dataValidation>
    <dataValidation allowBlank="true" errorStyle="stop" operator="between" showDropDown="false" showErrorMessage="false" showInputMessage="false" sqref="G4:G400" type="list">
      <formula1>Lista_Status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5"/>
    <col collapsed="false" customWidth="true" hidden="false" outlineLevel="0" max="5" min="5" style="0" width="13"/>
  </cols>
  <sheetData>
    <row r="1" customFormat="false" ht="27.75" hidden="false" customHeight="true" outlineLevel="0" collapsed="false">
      <c r="A1" s="1" t="s">
        <v>57</v>
      </c>
      <c r="B1" s="1"/>
      <c r="C1" s="1"/>
      <c r="D1" s="1"/>
      <c r="E1" s="1"/>
    </row>
    <row r="2" customFormat="false" ht="25.5" hidden="false" customHeight="true" outlineLevel="0" collapsed="false">
      <c r="A2" s="12" t="s">
        <v>58</v>
      </c>
      <c r="B2" s="12"/>
      <c r="C2" s="12"/>
      <c r="D2" s="12"/>
      <c r="E2" s="12"/>
    </row>
    <row r="3" customFormat="false" ht="15" hidden="false" customHeight="false" outlineLevel="0" collapsed="false">
      <c r="A3" s="2" t="s">
        <v>1</v>
      </c>
      <c r="B3" s="3" t="s">
        <v>2</v>
      </c>
    </row>
    <row r="5" customFormat="false" ht="19.5" hidden="false" customHeight="true" outlineLevel="0" collapsed="false">
      <c r="A5" s="13" t="s">
        <v>9</v>
      </c>
      <c r="B5" s="13" t="s">
        <v>59</v>
      </c>
      <c r="C5" s="13" t="s">
        <v>60</v>
      </c>
      <c r="D5" s="13" t="s">
        <v>61</v>
      </c>
      <c r="E5" s="13" t="s">
        <v>62</v>
      </c>
    </row>
    <row r="6" customFormat="false" ht="15" hidden="false" customHeight="false" outlineLevel="0" collapsed="false">
      <c r="A6" s="8" t="s">
        <v>11</v>
      </c>
      <c r="B6" s="18" t="n">
        <v>0</v>
      </c>
      <c r="C6" s="9" t="n">
        <f aca="false">SUMIFS(Transações!$F$4:$F$400,Transações!$D$4:$D$400,"Despesa",Transações!$C$4:$C$400,$A6,Transações!$H$4:$H$400,$B$3)</f>
        <v>1800</v>
      </c>
      <c r="D6" s="9" t="n">
        <f aca="false">B6-C6</f>
        <v>-1800</v>
      </c>
      <c r="E6" s="19" t="str">
        <f aca="false">IFERROR(C6/B6,"-")</f>
        <v>-</v>
      </c>
    </row>
    <row r="7" customFormat="false" ht="15" hidden="false" customHeight="false" outlineLevel="0" collapsed="false">
      <c r="A7" s="8" t="s">
        <v>13</v>
      </c>
      <c r="B7" s="18" t="n">
        <v>0</v>
      </c>
      <c r="C7" s="9" t="n">
        <f aca="false">SUMIFS(Transações!$F$4:$F$400,Transações!$D$4:$D$400,"Despesa",Transações!$C$4:$C$400,$A7,Transações!$H$4:$H$400,$B$3)</f>
        <v>220</v>
      </c>
      <c r="D7" s="9" t="n">
        <f aca="false">B7-C7</f>
        <v>-220</v>
      </c>
      <c r="E7" s="19" t="str">
        <f aca="false">IFERROR(C7/B7,"-")</f>
        <v>-</v>
      </c>
    </row>
    <row r="8" customFormat="false" ht="15" hidden="false" customHeight="false" outlineLevel="0" collapsed="false">
      <c r="A8" s="8" t="s">
        <v>15</v>
      </c>
      <c r="B8" s="18" t="n">
        <v>0</v>
      </c>
      <c r="C8" s="9" t="n">
        <f aca="false">SUMIFS(Transações!$F$4:$F$400,Transações!$D$4:$D$400,"Despesa",Transações!$C$4:$C$400,$A8,Transações!$H$4:$H$400,$B$3)</f>
        <v>850.3</v>
      </c>
      <c r="D8" s="9" t="n">
        <f aca="false">B8-C8</f>
        <v>-850.3</v>
      </c>
      <c r="E8" s="19" t="str">
        <f aca="false">IFERROR(C8/B8,"-")</f>
        <v>-</v>
      </c>
    </row>
    <row r="9" customFormat="false" ht="15" hidden="false" customHeight="false" outlineLevel="0" collapsed="false">
      <c r="A9" s="8" t="s">
        <v>17</v>
      </c>
      <c r="B9" s="18" t="n">
        <v>0</v>
      </c>
      <c r="C9" s="9" t="n">
        <f aca="false">SUMIFS(Transações!$F$4:$F$400,Transações!$D$4:$D$400,"Despesa",Transações!$C$4:$C$400,$A9,Transações!$H$4:$H$400,$B$3)</f>
        <v>0</v>
      </c>
      <c r="D9" s="9" t="n">
        <f aca="false">B9-C9</f>
        <v>0</v>
      </c>
      <c r="E9" s="19" t="str">
        <f aca="false">IFERROR(C9/B9,"-")</f>
        <v>-</v>
      </c>
    </row>
    <row r="10" customFormat="false" ht="15" hidden="false" customHeight="false" outlineLevel="0" collapsed="false">
      <c r="A10" s="8" t="s">
        <v>19</v>
      </c>
      <c r="B10" s="18" t="n">
        <v>0</v>
      </c>
      <c r="C10" s="9" t="n">
        <f aca="false">SUMIFS(Transações!$F$4:$F$400,Transações!$D$4:$D$400,"Despesa",Transações!$C$4:$C$400,$A10,Transações!$H$4:$H$400,$B$3)</f>
        <v>0</v>
      </c>
      <c r="D10" s="9" t="n">
        <f aca="false">B10-C10</f>
        <v>0</v>
      </c>
      <c r="E10" s="19" t="str">
        <f aca="false">IFERROR(C10/B10,"-")</f>
        <v>-</v>
      </c>
    </row>
    <row r="11" customFormat="false" ht="15" hidden="false" customHeight="false" outlineLevel="0" collapsed="false">
      <c r="A11" s="8" t="s">
        <v>21</v>
      </c>
      <c r="B11" s="18" t="n">
        <v>0</v>
      </c>
      <c r="C11" s="9" t="n">
        <f aca="false">SUMIFS(Transações!$F$4:$F$400,Transações!$D$4:$D$400,"Despesa",Transações!$C$4:$C$400,$A11,Transações!$H$4:$H$400,$B$3)</f>
        <v>0</v>
      </c>
      <c r="D11" s="9" t="n">
        <f aca="false">B11-C11</f>
        <v>0</v>
      </c>
      <c r="E11" s="19" t="str">
        <f aca="false">IFERROR(C11/B11,"-")</f>
        <v>-</v>
      </c>
    </row>
    <row r="12" customFormat="false" ht="15" hidden="false" customHeight="false" outlineLevel="0" collapsed="false">
      <c r="A12" s="8" t="s">
        <v>23</v>
      </c>
      <c r="B12" s="18" t="n">
        <v>0</v>
      </c>
      <c r="C12" s="9" t="n">
        <f aca="false">SUMIFS(Transações!$F$4:$F$400,Transações!$D$4:$D$400,"Despesa",Transações!$C$4:$C$400,$A12,Transações!$H$4:$H$400,$B$3)</f>
        <v>0</v>
      </c>
      <c r="D12" s="9" t="n">
        <f aca="false">B12-C12</f>
        <v>0</v>
      </c>
      <c r="E12" s="19" t="str">
        <f aca="false">IFERROR(C12/B12,"-")</f>
        <v>-</v>
      </c>
    </row>
    <row r="13" customFormat="false" ht="15" hidden="false" customHeight="false" outlineLevel="0" collapsed="false">
      <c r="A13" s="8" t="s">
        <v>25</v>
      </c>
      <c r="B13" s="18" t="n">
        <v>0</v>
      </c>
      <c r="C13" s="9" t="n">
        <f aca="false">SUMIFS(Transações!$F$4:$F$400,Transações!$D$4:$D$400,"Despesa",Transações!$C$4:$C$400,$A13,Transações!$H$4:$H$400,$B$3)</f>
        <v>0</v>
      </c>
      <c r="D13" s="9" t="n">
        <f aca="false">B13-C13</f>
        <v>0</v>
      </c>
      <c r="E13" s="19" t="str">
        <f aca="false">IFERROR(C13/B13,"-")</f>
        <v>-</v>
      </c>
    </row>
    <row r="14" customFormat="false" ht="15" hidden="false" customHeight="false" outlineLevel="0" collapsed="false">
      <c r="A14" s="8" t="s">
        <v>27</v>
      </c>
      <c r="B14" s="18" t="n">
        <v>0</v>
      </c>
      <c r="C14" s="9" t="n">
        <f aca="false">SUMIFS(Transações!$F$4:$F$400,Transações!$D$4:$D$400,"Despesa",Transações!$C$4:$C$400,$A14,Transações!$H$4:$H$400,$B$3)</f>
        <v>0</v>
      </c>
      <c r="D14" s="9" t="n">
        <f aca="false">B14-C14</f>
        <v>0</v>
      </c>
      <c r="E14" s="19" t="str">
        <f aca="false">IFERROR(C14/B14,"-")</f>
        <v>-</v>
      </c>
    </row>
    <row r="15" customFormat="false" ht="15" hidden="false" customHeight="false" outlineLevel="0" collapsed="false">
      <c r="A15" s="8" t="s">
        <v>28</v>
      </c>
      <c r="B15" s="18" t="n">
        <v>0</v>
      </c>
      <c r="C15" s="9" t="n">
        <f aca="false">SUMIFS(Transações!$F$4:$F$400,Transações!$D$4:$D$400,"Despesa",Transações!$C$4:$C$400,$A15,Transações!$H$4:$H$400,$B$3)</f>
        <v>0</v>
      </c>
      <c r="D15" s="9" t="n">
        <f aca="false">B15-C15</f>
        <v>0</v>
      </c>
      <c r="E15" s="19" t="str">
        <f aca="false">IFERROR(C15/B15,"-")</f>
        <v>-</v>
      </c>
    </row>
    <row r="16" customFormat="false" ht="15" hidden="false" customHeight="false" outlineLevel="0" collapsed="false">
      <c r="A16" s="8" t="s">
        <v>29</v>
      </c>
      <c r="B16" s="18" t="n">
        <v>0</v>
      </c>
      <c r="C16" s="9" t="n">
        <f aca="false">SUMIFS(Transações!$F$4:$F$400,Transações!$D$4:$D$400,"Despesa",Transações!$C$4:$C$400,$A16,Transações!$H$4:$H$400,$B$3)</f>
        <v>0</v>
      </c>
      <c r="D16" s="9" t="n">
        <f aca="false">B16-C16</f>
        <v>0</v>
      </c>
      <c r="E16" s="19" t="str">
        <f aca="false">IFERROR(C16/B16,"-")</f>
        <v>-</v>
      </c>
    </row>
    <row r="17" customFormat="false" ht="15" hidden="false" customHeight="false" outlineLevel="0" collapsed="false">
      <c r="A17" s="8" t="s">
        <v>30</v>
      </c>
      <c r="B17" s="18" t="n">
        <v>0</v>
      </c>
      <c r="C17" s="9" t="n">
        <f aca="false">SUMIFS(Transações!$F$4:$F$400,Transações!$D$4:$D$400,"Despesa",Transações!$C$4:$C$400,$A17,Transações!$H$4:$H$400,$B$3)</f>
        <v>0</v>
      </c>
      <c r="D17" s="9" t="n">
        <f aca="false">B17-C17</f>
        <v>0</v>
      </c>
      <c r="E17" s="19" t="str">
        <f aca="false">IFERROR(C17/B17,"-")</f>
        <v>-</v>
      </c>
    </row>
    <row r="18" customFormat="false" ht="15" hidden="false" customHeight="false" outlineLevel="0" collapsed="false">
      <c r="A18" s="8" t="s">
        <v>31</v>
      </c>
      <c r="B18" s="18" t="n">
        <v>0</v>
      </c>
      <c r="C18" s="9" t="n">
        <f aca="false">SUMIFS(Transações!$F$4:$F$400,Transações!$D$4:$D$400,"Despesa",Transações!$C$4:$C$400,$A18,Transações!$H$4:$H$400,$B$3)</f>
        <v>0</v>
      </c>
      <c r="D18" s="9" t="n">
        <f aca="false">B18-C18</f>
        <v>0</v>
      </c>
      <c r="E18" s="19" t="str">
        <f aca="false">IFERROR(C18/B18,"-")</f>
        <v>-</v>
      </c>
    </row>
    <row r="19" customFormat="false" ht="15" hidden="false" customHeight="false" outlineLevel="0" collapsed="false">
      <c r="A19" s="8" t="s">
        <v>32</v>
      </c>
      <c r="B19" s="18" t="n">
        <v>0</v>
      </c>
      <c r="C19" s="9" t="n">
        <f aca="false">SUMIFS(Transações!$F$4:$F$400,Transações!$D$4:$D$400,"Despesa",Transações!$C$4:$C$400,$A19,Transações!$H$4:$H$400,$B$3)</f>
        <v>0</v>
      </c>
      <c r="D19" s="9" t="n">
        <f aca="false">B19-C19</f>
        <v>0</v>
      </c>
      <c r="E19" s="19" t="str">
        <f aca="false">IFERROR(C19/B19,"-")</f>
        <v>-</v>
      </c>
    </row>
    <row r="20" customFormat="false" ht="15" hidden="false" customHeight="false" outlineLevel="0" collapsed="false">
      <c r="A20" s="8" t="s">
        <v>33</v>
      </c>
      <c r="B20" s="18" t="n">
        <v>0</v>
      </c>
      <c r="C20" s="9" t="n">
        <f aca="false">SUMIFS(Transações!$F$4:$F$400,Transações!$D$4:$D$400,"Despesa",Transações!$C$4:$C$400,$A20,Transações!$H$4:$H$400,$B$3)</f>
        <v>0</v>
      </c>
      <c r="D20" s="9" t="n">
        <f aca="false">B20-C20</f>
        <v>0</v>
      </c>
      <c r="E20" s="19" t="str">
        <f aca="false">IFERROR(C20/B20,"-")</f>
        <v>-</v>
      </c>
    </row>
    <row r="21" customFormat="false" ht="15" hidden="false" customHeight="false" outlineLevel="0" collapsed="false">
      <c r="A21" s="8" t="s">
        <v>34</v>
      </c>
      <c r="B21" s="18" t="n">
        <v>0</v>
      </c>
      <c r="C21" s="9" t="n">
        <f aca="false">SUMIFS(Transações!$F$4:$F$400,Transações!$D$4:$D$400,"Despesa",Transações!$C$4:$C$400,$A21,Transações!$H$4:$H$400,$B$3)</f>
        <v>0</v>
      </c>
      <c r="D21" s="9" t="n">
        <f aca="false">B21-C21</f>
        <v>0</v>
      </c>
      <c r="E21" s="19" t="str">
        <f aca="false">IFERROR(C21/B21,"-")</f>
        <v>-</v>
      </c>
    </row>
    <row r="22" customFormat="false" ht="15" hidden="false" customHeight="false" outlineLevel="0" collapsed="false">
      <c r="A22" s="10" t="s">
        <v>26</v>
      </c>
      <c r="B22" s="11" t="n">
        <f aca="false">SUM(B6:B21)</f>
        <v>0</v>
      </c>
      <c r="C22" s="11" t="n">
        <f aca="false">SUM(C6:C21)</f>
        <v>2870.3</v>
      </c>
      <c r="D22" s="11" t="n">
        <f aca="false">SUM(D6:D21)</f>
        <v>-2870.3</v>
      </c>
      <c r="E22" s="20" t="str">
        <f aca="false">IFERROR(C22/B22,"-")</f>
        <v>-</v>
      </c>
    </row>
  </sheetData>
  <mergeCells count="2">
    <mergeCell ref="A1:E1"/>
    <mergeCell ref="A2:E2"/>
  </mergeCells>
  <conditionalFormatting sqref="D6:D22">
    <cfRule type="cellIs" priority="2" operator="lessThan" aboveAverage="0" equalAverage="0" bottom="0" percent="0" rank="0" text="" dxfId="3">
      <formula>0</formula>
    </cfRule>
  </conditionalFormatting>
  <conditionalFormatting sqref="E6:E22">
    <cfRule type="expression" priority="3" aboveAverage="0" equalAverage="0" bottom="0" percent="0" rank="0" text="" dxfId="2">
      <formula>AND(ISNUMBER(E6),E6&gt;1)</formula>
    </cfRule>
  </conditionalFormatting>
  <dataValidations count="1">
    <dataValidation allowBlank="false" errorStyle="stop" operator="between" showDropDown="false" showErrorMessage="false" showInputMessage="false" sqref="B3" type="list">
      <formula1>Lista_Meses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3" min="2" style="0" width="10.5"/>
    <col collapsed="false" customWidth="true" hidden="false" outlineLevel="0" max="14" min="14" style="0" width="13"/>
  </cols>
  <sheetData>
    <row r="1" customFormat="false" ht="27.75" hidden="false" customHeight="true" outlineLevel="0" collapsed="false">
      <c r="A1" s="1" t="s">
        <v>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15" hidden="false" customHeight="false" outlineLevel="0" collapsed="false">
      <c r="A3" s="2" t="s">
        <v>64</v>
      </c>
      <c r="B3" s="21" t="n">
        <v>2026</v>
      </c>
    </row>
    <row r="5" customFormat="false" ht="30" hidden="false" customHeight="true" outlineLevel="0" collapsed="false">
      <c r="A5" s="13" t="s">
        <v>65</v>
      </c>
      <c r="B5" s="13" t="s">
        <v>2</v>
      </c>
      <c r="C5" s="13" t="s">
        <v>66</v>
      </c>
      <c r="D5" s="13" t="s">
        <v>67</v>
      </c>
      <c r="E5" s="13" t="s">
        <v>68</v>
      </c>
      <c r="F5" s="13" t="s">
        <v>69</v>
      </c>
      <c r="G5" s="13" t="s">
        <v>70</v>
      </c>
      <c r="H5" s="13" t="s">
        <v>71</v>
      </c>
      <c r="I5" s="13" t="s">
        <v>72</v>
      </c>
      <c r="J5" s="13" t="s">
        <v>73</v>
      </c>
      <c r="K5" s="13" t="s">
        <v>74</v>
      </c>
      <c r="L5" s="13" t="s">
        <v>75</v>
      </c>
      <c r="M5" s="13" t="s">
        <v>76</v>
      </c>
      <c r="N5" s="13" t="s">
        <v>77</v>
      </c>
    </row>
    <row r="6" customFormat="false" ht="15" hidden="false" customHeight="false" outlineLevel="0" collapsed="false">
      <c r="A6" s="4" t="s">
        <v>78</v>
      </c>
      <c r="B6" s="9" t="n">
        <f aca="false">SUMIFS(Transações!$F$4:$F$400,Transações!$D$4:$D$400,"Receita",Transações!$H$4:$H$400,B$5,Transações!$I$4:$I$400,$B$3)</f>
        <v>6500</v>
      </c>
      <c r="C6" s="9" t="n">
        <f aca="false">SUMIFS(Transações!$F$4:$F$400,Transações!$D$4:$D$400,"Receita",Transações!$H$4:$H$400,C$5,Transações!$I$4:$I$400,$B$3)</f>
        <v>0</v>
      </c>
      <c r="D6" s="9" t="n">
        <f aca="false">SUMIFS(Transações!$F$4:$F$400,Transações!$D$4:$D$400,"Receita",Transações!$H$4:$H$400,D$5,Transações!$I$4:$I$400,$B$3)</f>
        <v>0</v>
      </c>
      <c r="E6" s="9" t="n">
        <f aca="false">SUMIFS(Transações!$F$4:$F$400,Transações!$D$4:$D$400,"Receita",Transações!$H$4:$H$400,E$5,Transações!$I$4:$I$400,$B$3)</f>
        <v>0</v>
      </c>
      <c r="F6" s="9" t="n">
        <f aca="false">SUMIFS(Transações!$F$4:$F$400,Transações!$D$4:$D$400,"Receita",Transações!$H$4:$H$400,F$5,Transações!$I$4:$I$400,$B$3)</f>
        <v>0</v>
      </c>
      <c r="G6" s="9" t="n">
        <f aca="false">SUMIFS(Transações!$F$4:$F$400,Transações!$D$4:$D$400,"Receita",Transações!$H$4:$H$400,G$5,Transações!$I$4:$I$400,$B$3)</f>
        <v>0</v>
      </c>
      <c r="H6" s="9" t="n">
        <f aca="false">SUMIFS(Transações!$F$4:$F$400,Transações!$D$4:$D$400,"Receita",Transações!$H$4:$H$400,H$5,Transações!$I$4:$I$400,$B$3)</f>
        <v>0</v>
      </c>
      <c r="I6" s="9" t="n">
        <f aca="false">SUMIFS(Transações!$F$4:$F$400,Transações!$D$4:$D$400,"Receita",Transações!$H$4:$H$400,I$5,Transações!$I$4:$I$400,$B$3)</f>
        <v>0</v>
      </c>
      <c r="J6" s="9" t="n">
        <f aca="false">SUMIFS(Transações!$F$4:$F$400,Transações!$D$4:$D$400,"Receita",Transações!$H$4:$H$400,J$5,Transações!$I$4:$I$400,$B$3)</f>
        <v>0</v>
      </c>
      <c r="K6" s="9" t="n">
        <f aca="false">SUMIFS(Transações!$F$4:$F$400,Transações!$D$4:$D$400,"Receita",Transações!$H$4:$H$400,K$5,Transações!$I$4:$I$400,$B$3)</f>
        <v>0</v>
      </c>
      <c r="L6" s="9" t="n">
        <f aca="false">SUMIFS(Transações!$F$4:$F$400,Transações!$D$4:$D$400,"Receita",Transações!$H$4:$H$400,L$5,Transações!$I$4:$I$400,$B$3)</f>
        <v>0</v>
      </c>
      <c r="M6" s="9" t="n">
        <f aca="false">SUMIFS(Transações!$F$4:$F$400,Transações!$D$4:$D$400,"Receita",Transações!$H$4:$H$400,M$5,Transações!$I$4:$I$400,$B$3)</f>
        <v>0</v>
      </c>
      <c r="N6" s="22" t="n">
        <f aca="false">SUM(B6:M6)</f>
        <v>6500</v>
      </c>
    </row>
    <row r="7" customFormat="false" ht="15" hidden="false" customHeight="false" outlineLevel="0" collapsed="false">
      <c r="A7" s="8" t="s">
        <v>11</v>
      </c>
      <c r="B7" s="9" t="n">
        <f aca="false">SUMIFS(Transações!$F$4:$F$400,Transações!$D$4:$D$400,"Despesa",Transações!$C$4:$C$400,$A7,Transações!$H$4:$H$400,B$5,Transações!$I$4:$I$400,$B$3)</f>
        <v>1800</v>
      </c>
      <c r="C7" s="9" t="n">
        <f aca="false">SUMIFS(Transações!$F$4:$F$400,Transações!$D$4:$D$400,"Despesa",Transações!$C$4:$C$400,$A7,Transações!$H$4:$H$400,C$5,Transações!$I$4:$I$400,$B$3)</f>
        <v>0</v>
      </c>
      <c r="D7" s="9" t="n">
        <f aca="false">SUMIFS(Transações!$F$4:$F$400,Transações!$D$4:$D$400,"Despesa",Transações!$C$4:$C$400,$A7,Transações!$H$4:$H$400,D$5,Transações!$I$4:$I$400,$B$3)</f>
        <v>0</v>
      </c>
      <c r="E7" s="9" t="n">
        <f aca="false">SUMIFS(Transações!$F$4:$F$400,Transações!$D$4:$D$400,"Despesa",Transações!$C$4:$C$400,$A7,Transações!$H$4:$H$400,E$5,Transações!$I$4:$I$400,$B$3)</f>
        <v>0</v>
      </c>
      <c r="F7" s="9" t="n">
        <f aca="false">SUMIFS(Transações!$F$4:$F$400,Transações!$D$4:$D$400,"Despesa",Transações!$C$4:$C$400,$A7,Transações!$H$4:$H$400,F$5,Transações!$I$4:$I$400,$B$3)</f>
        <v>0</v>
      </c>
      <c r="G7" s="9" t="n">
        <f aca="false">SUMIFS(Transações!$F$4:$F$400,Transações!$D$4:$D$400,"Despesa",Transações!$C$4:$C$400,$A7,Transações!$H$4:$H$400,G$5,Transações!$I$4:$I$400,$B$3)</f>
        <v>0</v>
      </c>
      <c r="H7" s="9" t="n">
        <f aca="false">SUMIFS(Transações!$F$4:$F$400,Transações!$D$4:$D$400,"Despesa",Transações!$C$4:$C$400,$A7,Transações!$H$4:$H$400,H$5,Transações!$I$4:$I$400,$B$3)</f>
        <v>0</v>
      </c>
      <c r="I7" s="9" t="n">
        <f aca="false">SUMIFS(Transações!$F$4:$F$400,Transações!$D$4:$D$400,"Despesa",Transações!$C$4:$C$400,$A7,Transações!$H$4:$H$400,I$5,Transações!$I$4:$I$400,$B$3)</f>
        <v>0</v>
      </c>
      <c r="J7" s="9" t="n">
        <f aca="false">SUMIFS(Transações!$F$4:$F$400,Transações!$D$4:$D$400,"Despesa",Transações!$C$4:$C$400,$A7,Transações!$H$4:$H$400,J$5,Transações!$I$4:$I$400,$B$3)</f>
        <v>0</v>
      </c>
      <c r="K7" s="9" t="n">
        <f aca="false">SUMIFS(Transações!$F$4:$F$400,Transações!$D$4:$D$400,"Despesa",Transações!$C$4:$C$400,$A7,Transações!$H$4:$H$400,K$5,Transações!$I$4:$I$400,$B$3)</f>
        <v>0</v>
      </c>
      <c r="L7" s="9" t="n">
        <f aca="false">SUMIFS(Transações!$F$4:$F$400,Transações!$D$4:$D$400,"Despesa",Transações!$C$4:$C$400,$A7,Transações!$H$4:$H$400,L$5,Transações!$I$4:$I$400,$B$3)</f>
        <v>0</v>
      </c>
      <c r="M7" s="9" t="n">
        <f aca="false">SUMIFS(Transações!$F$4:$F$400,Transações!$D$4:$D$400,"Despesa",Transações!$C$4:$C$400,$A7,Transações!$H$4:$H$400,M$5,Transações!$I$4:$I$400,$B$3)</f>
        <v>0</v>
      </c>
      <c r="N7" s="9" t="n">
        <f aca="false">SUM(B7:M7)</f>
        <v>1800</v>
      </c>
    </row>
    <row r="8" customFormat="false" ht="15" hidden="false" customHeight="false" outlineLevel="0" collapsed="false">
      <c r="A8" s="8" t="s">
        <v>13</v>
      </c>
      <c r="B8" s="9" t="n">
        <f aca="false">SUMIFS(Transações!$F$4:$F$400,Transações!$D$4:$D$400,"Despesa",Transações!$C$4:$C$400,$A8,Transações!$H$4:$H$400,B$5,Transações!$I$4:$I$400,$B$3)</f>
        <v>220</v>
      </c>
      <c r="C8" s="9" t="n">
        <f aca="false">SUMIFS(Transações!$F$4:$F$400,Transações!$D$4:$D$400,"Despesa",Transações!$C$4:$C$400,$A8,Transações!$H$4:$H$400,C$5,Transações!$I$4:$I$400,$B$3)</f>
        <v>0</v>
      </c>
      <c r="D8" s="9" t="n">
        <f aca="false">SUMIFS(Transações!$F$4:$F$400,Transações!$D$4:$D$400,"Despesa",Transações!$C$4:$C$400,$A8,Transações!$H$4:$H$400,D$5,Transações!$I$4:$I$400,$B$3)</f>
        <v>0</v>
      </c>
      <c r="E8" s="9" t="n">
        <f aca="false">SUMIFS(Transações!$F$4:$F$400,Transações!$D$4:$D$400,"Despesa",Transações!$C$4:$C$400,$A8,Transações!$H$4:$H$400,E$5,Transações!$I$4:$I$400,$B$3)</f>
        <v>0</v>
      </c>
      <c r="F8" s="9" t="n">
        <f aca="false">SUMIFS(Transações!$F$4:$F$400,Transações!$D$4:$D$400,"Despesa",Transações!$C$4:$C$400,$A8,Transações!$H$4:$H$400,F$5,Transações!$I$4:$I$400,$B$3)</f>
        <v>0</v>
      </c>
      <c r="G8" s="9" t="n">
        <f aca="false">SUMIFS(Transações!$F$4:$F$400,Transações!$D$4:$D$400,"Despesa",Transações!$C$4:$C$400,$A8,Transações!$H$4:$H$400,G$5,Transações!$I$4:$I$400,$B$3)</f>
        <v>0</v>
      </c>
      <c r="H8" s="9" t="n">
        <f aca="false">SUMIFS(Transações!$F$4:$F$400,Transações!$D$4:$D$400,"Despesa",Transações!$C$4:$C$400,$A8,Transações!$H$4:$H$400,H$5,Transações!$I$4:$I$400,$B$3)</f>
        <v>0</v>
      </c>
      <c r="I8" s="9" t="n">
        <f aca="false">SUMIFS(Transações!$F$4:$F$400,Transações!$D$4:$D$400,"Despesa",Transações!$C$4:$C$400,$A8,Transações!$H$4:$H$400,I$5,Transações!$I$4:$I$400,$B$3)</f>
        <v>0</v>
      </c>
      <c r="J8" s="9" t="n">
        <f aca="false">SUMIFS(Transações!$F$4:$F$400,Transações!$D$4:$D$400,"Despesa",Transações!$C$4:$C$400,$A8,Transações!$H$4:$H$400,J$5,Transações!$I$4:$I$400,$B$3)</f>
        <v>0</v>
      </c>
      <c r="K8" s="9" t="n">
        <f aca="false">SUMIFS(Transações!$F$4:$F$400,Transações!$D$4:$D$400,"Despesa",Transações!$C$4:$C$400,$A8,Transações!$H$4:$H$400,K$5,Transações!$I$4:$I$400,$B$3)</f>
        <v>0</v>
      </c>
      <c r="L8" s="9" t="n">
        <f aca="false">SUMIFS(Transações!$F$4:$F$400,Transações!$D$4:$D$400,"Despesa",Transações!$C$4:$C$400,$A8,Transações!$H$4:$H$400,L$5,Transações!$I$4:$I$400,$B$3)</f>
        <v>0</v>
      </c>
      <c r="M8" s="9" t="n">
        <f aca="false">SUMIFS(Transações!$F$4:$F$400,Transações!$D$4:$D$400,"Despesa",Transações!$C$4:$C$400,$A8,Transações!$H$4:$H$400,M$5,Transações!$I$4:$I$400,$B$3)</f>
        <v>0</v>
      </c>
      <c r="N8" s="9" t="n">
        <f aca="false">SUM(B8:M8)</f>
        <v>220</v>
      </c>
    </row>
    <row r="9" customFormat="false" ht="15" hidden="false" customHeight="false" outlineLevel="0" collapsed="false">
      <c r="A9" s="8" t="s">
        <v>15</v>
      </c>
      <c r="B9" s="9" t="n">
        <f aca="false">SUMIFS(Transações!$F$4:$F$400,Transações!$D$4:$D$400,"Despesa",Transações!$C$4:$C$400,$A9,Transações!$H$4:$H$400,B$5,Transações!$I$4:$I$400,$B$3)</f>
        <v>850.3</v>
      </c>
      <c r="C9" s="9" t="n">
        <f aca="false">SUMIFS(Transações!$F$4:$F$400,Transações!$D$4:$D$400,"Despesa",Transações!$C$4:$C$400,$A9,Transações!$H$4:$H$400,C$5,Transações!$I$4:$I$400,$B$3)</f>
        <v>0</v>
      </c>
      <c r="D9" s="9" t="n">
        <f aca="false">SUMIFS(Transações!$F$4:$F$400,Transações!$D$4:$D$400,"Despesa",Transações!$C$4:$C$400,$A9,Transações!$H$4:$H$400,D$5,Transações!$I$4:$I$400,$B$3)</f>
        <v>0</v>
      </c>
      <c r="E9" s="9" t="n">
        <f aca="false">SUMIFS(Transações!$F$4:$F$400,Transações!$D$4:$D$400,"Despesa",Transações!$C$4:$C$400,$A9,Transações!$H$4:$H$400,E$5,Transações!$I$4:$I$400,$B$3)</f>
        <v>0</v>
      </c>
      <c r="F9" s="9" t="n">
        <f aca="false">SUMIFS(Transações!$F$4:$F$400,Transações!$D$4:$D$400,"Despesa",Transações!$C$4:$C$400,$A9,Transações!$H$4:$H$400,F$5,Transações!$I$4:$I$400,$B$3)</f>
        <v>0</v>
      </c>
      <c r="G9" s="9" t="n">
        <f aca="false">SUMIFS(Transações!$F$4:$F$400,Transações!$D$4:$D$400,"Despesa",Transações!$C$4:$C$400,$A9,Transações!$H$4:$H$400,G$5,Transações!$I$4:$I$400,$B$3)</f>
        <v>0</v>
      </c>
      <c r="H9" s="9" t="n">
        <f aca="false">SUMIFS(Transações!$F$4:$F$400,Transações!$D$4:$D$400,"Despesa",Transações!$C$4:$C$400,$A9,Transações!$H$4:$H$400,H$5,Transações!$I$4:$I$400,$B$3)</f>
        <v>0</v>
      </c>
      <c r="I9" s="9" t="n">
        <f aca="false">SUMIFS(Transações!$F$4:$F$400,Transações!$D$4:$D$400,"Despesa",Transações!$C$4:$C$400,$A9,Transações!$H$4:$H$400,I$5,Transações!$I$4:$I$400,$B$3)</f>
        <v>0</v>
      </c>
      <c r="J9" s="9" t="n">
        <f aca="false">SUMIFS(Transações!$F$4:$F$400,Transações!$D$4:$D$400,"Despesa",Transações!$C$4:$C$400,$A9,Transações!$H$4:$H$400,J$5,Transações!$I$4:$I$400,$B$3)</f>
        <v>0</v>
      </c>
      <c r="K9" s="9" t="n">
        <f aca="false">SUMIFS(Transações!$F$4:$F$400,Transações!$D$4:$D$400,"Despesa",Transações!$C$4:$C$400,$A9,Transações!$H$4:$H$400,K$5,Transações!$I$4:$I$400,$B$3)</f>
        <v>0</v>
      </c>
      <c r="L9" s="9" t="n">
        <f aca="false">SUMIFS(Transações!$F$4:$F$400,Transações!$D$4:$D$400,"Despesa",Transações!$C$4:$C$400,$A9,Transações!$H$4:$H$400,L$5,Transações!$I$4:$I$400,$B$3)</f>
        <v>0</v>
      </c>
      <c r="M9" s="9" t="n">
        <f aca="false">SUMIFS(Transações!$F$4:$F$400,Transações!$D$4:$D$400,"Despesa",Transações!$C$4:$C$400,$A9,Transações!$H$4:$H$400,M$5,Transações!$I$4:$I$400,$B$3)</f>
        <v>0</v>
      </c>
      <c r="N9" s="9" t="n">
        <f aca="false">SUM(B9:M9)</f>
        <v>850.3</v>
      </c>
    </row>
    <row r="10" customFormat="false" ht="15" hidden="false" customHeight="false" outlineLevel="0" collapsed="false">
      <c r="A10" s="8" t="s">
        <v>17</v>
      </c>
      <c r="B10" s="9" t="n">
        <f aca="false">SUMIFS(Transações!$F$4:$F$400,Transações!$D$4:$D$400,"Despesa",Transações!$C$4:$C$400,$A10,Transações!$H$4:$H$400,B$5,Transações!$I$4:$I$400,$B$3)</f>
        <v>0</v>
      </c>
      <c r="C10" s="9" t="n">
        <f aca="false">SUMIFS(Transações!$F$4:$F$400,Transações!$D$4:$D$400,"Despesa",Transações!$C$4:$C$400,$A10,Transações!$H$4:$H$400,C$5,Transações!$I$4:$I$400,$B$3)</f>
        <v>0</v>
      </c>
      <c r="D10" s="9" t="n">
        <f aca="false">SUMIFS(Transações!$F$4:$F$400,Transações!$D$4:$D$400,"Despesa",Transações!$C$4:$C$400,$A10,Transações!$H$4:$H$400,D$5,Transações!$I$4:$I$400,$B$3)</f>
        <v>0</v>
      </c>
      <c r="E10" s="9" t="n">
        <f aca="false">SUMIFS(Transações!$F$4:$F$400,Transações!$D$4:$D$400,"Despesa",Transações!$C$4:$C$400,$A10,Transações!$H$4:$H$400,E$5,Transações!$I$4:$I$400,$B$3)</f>
        <v>0</v>
      </c>
      <c r="F10" s="9" t="n">
        <f aca="false">SUMIFS(Transações!$F$4:$F$400,Transações!$D$4:$D$400,"Despesa",Transações!$C$4:$C$400,$A10,Transações!$H$4:$H$400,F$5,Transações!$I$4:$I$400,$B$3)</f>
        <v>0</v>
      </c>
      <c r="G10" s="9" t="n">
        <f aca="false">SUMIFS(Transações!$F$4:$F$400,Transações!$D$4:$D$400,"Despesa",Transações!$C$4:$C$400,$A10,Transações!$H$4:$H$400,G$5,Transações!$I$4:$I$400,$B$3)</f>
        <v>0</v>
      </c>
      <c r="H10" s="9" t="n">
        <f aca="false">SUMIFS(Transações!$F$4:$F$400,Transações!$D$4:$D$400,"Despesa",Transações!$C$4:$C$400,$A10,Transações!$H$4:$H$400,H$5,Transações!$I$4:$I$400,$B$3)</f>
        <v>0</v>
      </c>
      <c r="I10" s="9" t="n">
        <f aca="false">SUMIFS(Transações!$F$4:$F$400,Transações!$D$4:$D$400,"Despesa",Transações!$C$4:$C$400,$A10,Transações!$H$4:$H$400,I$5,Transações!$I$4:$I$400,$B$3)</f>
        <v>0</v>
      </c>
      <c r="J10" s="9" t="n">
        <f aca="false">SUMIFS(Transações!$F$4:$F$400,Transações!$D$4:$D$400,"Despesa",Transações!$C$4:$C$400,$A10,Transações!$H$4:$H$400,J$5,Transações!$I$4:$I$400,$B$3)</f>
        <v>0</v>
      </c>
      <c r="K10" s="9" t="n">
        <f aca="false">SUMIFS(Transações!$F$4:$F$400,Transações!$D$4:$D$400,"Despesa",Transações!$C$4:$C$400,$A10,Transações!$H$4:$H$400,K$5,Transações!$I$4:$I$400,$B$3)</f>
        <v>0</v>
      </c>
      <c r="L10" s="9" t="n">
        <f aca="false">SUMIFS(Transações!$F$4:$F$400,Transações!$D$4:$D$400,"Despesa",Transações!$C$4:$C$400,$A10,Transações!$H$4:$H$400,L$5,Transações!$I$4:$I$400,$B$3)</f>
        <v>0</v>
      </c>
      <c r="M10" s="9" t="n">
        <f aca="false">SUMIFS(Transações!$F$4:$F$400,Transações!$D$4:$D$400,"Despesa",Transações!$C$4:$C$400,$A10,Transações!$H$4:$H$400,M$5,Transações!$I$4:$I$400,$B$3)</f>
        <v>0</v>
      </c>
      <c r="N10" s="9" t="n">
        <f aca="false">SUM(B10:M10)</f>
        <v>0</v>
      </c>
    </row>
    <row r="11" customFormat="false" ht="15" hidden="false" customHeight="false" outlineLevel="0" collapsed="false">
      <c r="A11" s="8" t="s">
        <v>19</v>
      </c>
      <c r="B11" s="9" t="n">
        <f aca="false">SUMIFS(Transações!$F$4:$F$400,Transações!$D$4:$D$400,"Despesa",Transações!$C$4:$C$400,$A11,Transações!$H$4:$H$400,B$5,Transações!$I$4:$I$400,$B$3)</f>
        <v>0</v>
      </c>
      <c r="C11" s="9" t="n">
        <f aca="false">SUMIFS(Transações!$F$4:$F$400,Transações!$D$4:$D$400,"Despesa",Transações!$C$4:$C$400,$A11,Transações!$H$4:$H$400,C$5,Transações!$I$4:$I$400,$B$3)</f>
        <v>0</v>
      </c>
      <c r="D11" s="9" t="n">
        <f aca="false">SUMIFS(Transações!$F$4:$F$400,Transações!$D$4:$D$400,"Despesa",Transações!$C$4:$C$400,$A11,Transações!$H$4:$H$400,D$5,Transações!$I$4:$I$400,$B$3)</f>
        <v>0</v>
      </c>
      <c r="E11" s="9" t="n">
        <f aca="false">SUMIFS(Transações!$F$4:$F$400,Transações!$D$4:$D$400,"Despesa",Transações!$C$4:$C$400,$A11,Transações!$H$4:$H$400,E$5,Transações!$I$4:$I$400,$B$3)</f>
        <v>0</v>
      </c>
      <c r="F11" s="9" t="n">
        <f aca="false">SUMIFS(Transações!$F$4:$F$400,Transações!$D$4:$D$400,"Despesa",Transações!$C$4:$C$400,$A11,Transações!$H$4:$H$400,F$5,Transações!$I$4:$I$400,$B$3)</f>
        <v>0</v>
      </c>
      <c r="G11" s="9" t="n">
        <f aca="false">SUMIFS(Transações!$F$4:$F$400,Transações!$D$4:$D$400,"Despesa",Transações!$C$4:$C$400,$A11,Transações!$H$4:$H$400,G$5,Transações!$I$4:$I$400,$B$3)</f>
        <v>0</v>
      </c>
      <c r="H11" s="9" t="n">
        <f aca="false">SUMIFS(Transações!$F$4:$F$400,Transações!$D$4:$D$400,"Despesa",Transações!$C$4:$C$400,$A11,Transações!$H$4:$H$400,H$5,Transações!$I$4:$I$400,$B$3)</f>
        <v>0</v>
      </c>
      <c r="I11" s="9" t="n">
        <f aca="false">SUMIFS(Transações!$F$4:$F$400,Transações!$D$4:$D$400,"Despesa",Transações!$C$4:$C$400,$A11,Transações!$H$4:$H$400,I$5,Transações!$I$4:$I$400,$B$3)</f>
        <v>0</v>
      </c>
      <c r="J11" s="9" t="n">
        <f aca="false">SUMIFS(Transações!$F$4:$F$400,Transações!$D$4:$D$400,"Despesa",Transações!$C$4:$C$400,$A11,Transações!$H$4:$H$400,J$5,Transações!$I$4:$I$400,$B$3)</f>
        <v>0</v>
      </c>
      <c r="K11" s="9" t="n">
        <f aca="false">SUMIFS(Transações!$F$4:$F$400,Transações!$D$4:$D$400,"Despesa",Transações!$C$4:$C$400,$A11,Transações!$H$4:$H$400,K$5,Transações!$I$4:$I$400,$B$3)</f>
        <v>0</v>
      </c>
      <c r="L11" s="9" t="n">
        <f aca="false">SUMIFS(Transações!$F$4:$F$400,Transações!$D$4:$D$400,"Despesa",Transações!$C$4:$C$400,$A11,Transações!$H$4:$H$400,L$5,Transações!$I$4:$I$400,$B$3)</f>
        <v>0</v>
      </c>
      <c r="M11" s="9" t="n">
        <f aca="false">SUMIFS(Transações!$F$4:$F$400,Transações!$D$4:$D$400,"Despesa",Transações!$C$4:$C$400,$A11,Transações!$H$4:$H$400,M$5,Transações!$I$4:$I$400,$B$3)</f>
        <v>0</v>
      </c>
      <c r="N11" s="9" t="n">
        <f aca="false">SUM(B11:M11)</f>
        <v>0</v>
      </c>
    </row>
    <row r="12" customFormat="false" ht="15" hidden="false" customHeight="false" outlineLevel="0" collapsed="false">
      <c r="A12" s="8" t="s">
        <v>21</v>
      </c>
      <c r="B12" s="9" t="n">
        <f aca="false">SUMIFS(Transações!$F$4:$F$400,Transações!$D$4:$D$400,"Despesa",Transações!$C$4:$C$400,$A12,Transações!$H$4:$H$400,B$5,Transações!$I$4:$I$400,$B$3)</f>
        <v>0</v>
      </c>
      <c r="C12" s="9" t="n">
        <f aca="false">SUMIFS(Transações!$F$4:$F$400,Transações!$D$4:$D$400,"Despesa",Transações!$C$4:$C$400,$A12,Transações!$H$4:$H$400,C$5,Transações!$I$4:$I$400,$B$3)</f>
        <v>0</v>
      </c>
      <c r="D12" s="9" t="n">
        <f aca="false">SUMIFS(Transações!$F$4:$F$400,Transações!$D$4:$D$400,"Despesa",Transações!$C$4:$C$400,$A12,Transações!$H$4:$H$400,D$5,Transações!$I$4:$I$400,$B$3)</f>
        <v>0</v>
      </c>
      <c r="E12" s="9" t="n">
        <f aca="false">SUMIFS(Transações!$F$4:$F$400,Transações!$D$4:$D$400,"Despesa",Transações!$C$4:$C$400,$A12,Transações!$H$4:$H$400,E$5,Transações!$I$4:$I$400,$B$3)</f>
        <v>0</v>
      </c>
      <c r="F12" s="9" t="n">
        <f aca="false">SUMIFS(Transações!$F$4:$F$400,Transações!$D$4:$D$400,"Despesa",Transações!$C$4:$C$400,$A12,Transações!$H$4:$H$400,F$5,Transações!$I$4:$I$400,$B$3)</f>
        <v>0</v>
      </c>
      <c r="G12" s="9" t="n">
        <f aca="false">SUMIFS(Transações!$F$4:$F$400,Transações!$D$4:$D$400,"Despesa",Transações!$C$4:$C$400,$A12,Transações!$H$4:$H$400,G$5,Transações!$I$4:$I$400,$B$3)</f>
        <v>0</v>
      </c>
      <c r="H12" s="9" t="n">
        <f aca="false">SUMIFS(Transações!$F$4:$F$400,Transações!$D$4:$D$400,"Despesa",Transações!$C$4:$C$400,$A12,Transações!$H$4:$H$400,H$5,Transações!$I$4:$I$400,$B$3)</f>
        <v>0</v>
      </c>
      <c r="I12" s="9" t="n">
        <f aca="false">SUMIFS(Transações!$F$4:$F$400,Transações!$D$4:$D$400,"Despesa",Transações!$C$4:$C$400,$A12,Transações!$H$4:$H$400,I$5,Transações!$I$4:$I$400,$B$3)</f>
        <v>0</v>
      </c>
      <c r="J12" s="9" t="n">
        <f aca="false">SUMIFS(Transações!$F$4:$F$400,Transações!$D$4:$D$400,"Despesa",Transações!$C$4:$C$400,$A12,Transações!$H$4:$H$400,J$5,Transações!$I$4:$I$400,$B$3)</f>
        <v>0</v>
      </c>
      <c r="K12" s="9" t="n">
        <f aca="false">SUMIFS(Transações!$F$4:$F$400,Transações!$D$4:$D$400,"Despesa",Transações!$C$4:$C$400,$A12,Transações!$H$4:$H$400,K$5,Transações!$I$4:$I$400,$B$3)</f>
        <v>0</v>
      </c>
      <c r="L12" s="9" t="n">
        <f aca="false">SUMIFS(Transações!$F$4:$F$400,Transações!$D$4:$D$400,"Despesa",Transações!$C$4:$C$400,$A12,Transações!$H$4:$H$400,L$5,Transações!$I$4:$I$400,$B$3)</f>
        <v>0</v>
      </c>
      <c r="M12" s="9" t="n">
        <f aca="false">SUMIFS(Transações!$F$4:$F$400,Transações!$D$4:$D$400,"Despesa",Transações!$C$4:$C$400,$A12,Transações!$H$4:$H$400,M$5,Transações!$I$4:$I$400,$B$3)</f>
        <v>0</v>
      </c>
      <c r="N12" s="9" t="n">
        <f aca="false">SUM(B12:M12)</f>
        <v>0</v>
      </c>
    </row>
    <row r="13" customFormat="false" ht="15" hidden="false" customHeight="false" outlineLevel="0" collapsed="false">
      <c r="A13" s="8" t="s">
        <v>23</v>
      </c>
      <c r="B13" s="9" t="n">
        <f aca="false">SUMIFS(Transações!$F$4:$F$400,Transações!$D$4:$D$400,"Despesa",Transações!$C$4:$C$400,$A13,Transações!$H$4:$H$400,B$5,Transações!$I$4:$I$400,$B$3)</f>
        <v>0</v>
      </c>
      <c r="C13" s="9" t="n">
        <f aca="false">SUMIFS(Transações!$F$4:$F$400,Transações!$D$4:$D$400,"Despesa",Transações!$C$4:$C$400,$A13,Transações!$H$4:$H$400,C$5,Transações!$I$4:$I$400,$B$3)</f>
        <v>0</v>
      </c>
      <c r="D13" s="9" t="n">
        <f aca="false">SUMIFS(Transações!$F$4:$F$400,Transações!$D$4:$D$400,"Despesa",Transações!$C$4:$C$400,$A13,Transações!$H$4:$H$400,D$5,Transações!$I$4:$I$400,$B$3)</f>
        <v>0</v>
      </c>
      <c r="E13" s="9" t="n">
        <f aca="false">SUMIFS(Transações!$F$4:$F$400,Transações!$D$4:$D$400,"Despesa",Transações!$C$4:$C$400,$A13,Transações!$H$4:$H$400,E$5,Transações!$I$4:$I$400,$B$3)</f>
        <v>0</v>
      </c>
      <c r="F13" s="9" t="n">
        <f aca="false">SUMIFS(Transações!$F$4:$F$400,Transações!$D$4:$D$400,"Despesa",Transações!$C$4:$C$400,$A13,Transações!$H$4:$H$400,F$5,Transações!$I$4:$I$400,$B$3)</f>
        <v>0</v>
      </c>
      <c r="G13" s="9" t="n">
        <f aca="false">SUMIFS(Transações!$F$4:$F$400,Transações!$D$4:$D$400,"Despesa",Transações!$C$4:$C$400,$A13,Transações!$H$4:$H$400,G$5,Transações!$I$4:$I$400,$B$3)</f>
        <v>0</v>
      </c>
      <c r="H13" s="9" t="n">
        <f aca="false">SUMIFS(Transações!$F$4:$F$400,Transações!$D$4:$D$400,"Despesa",Transações!$C$4:$C$400,$A13,Transações!$H$4:$H$400,H$5,Transações!$I$4:$I$400,$B$3)</f>
        <v>0</v>
      </c>
      <c r="I13" s="9" t="n">
        <f aca="false">SUMIFS(Transações!$F$4:$F$400,Transações!$D$4:$D$400,"Despesa",Transações!$C$4:$C$400,$A13,Transações!$H$4:$H$400,I$5,Transações!$I$4:$I$400,$B$3)</f>
        <v>0</v>
      </c>
      <c r="J13" s="9" t="n">
        <f aca="false">SUMIFS(Transações!$F$4:$F$400,Transações!$D$4:$D$400,"Despesa",Transações!$C$4:$C$400,$A13,Transações!$H$4:$H$400,J$5,Transações!$I$4:$I$400,$B$3)</f>
        <v>0</v>
      </c>
      <c r="K13" s="9" t="n">
        <f aca="false">SUMIFS(Transações!$F$4:$F$400,Transações!$D$4:$D$400,"Despesa",Transações!$C$4:$C$400,$A13,Transações!$H$4:$H$400,K$5,Transações!$I$4:$I$400,$B$3)</f>
        <v>0</v>
      </c>
      <c r="L13" s="9" t="n">
        <f aca="false">SUMIFS(Transações!$F$4:$F$400,Transações!$D$4:$D$400,"Despesa",Transações!$C$4:$C$400,$A13,Transações!$H$4:$H$400,L$5,Transações!$I$4:$I$400,$B$3)</f>
        <v>0</v>
      </c>
      <c r="M13" s="9" t="n">
        <f aca="false">SUMIFS(Transações!$F$4:$F$400,Transações!$D$4:$D$400,"Despesa",Transações!$C$4:$C$400,$A13,Transações!$H$4:$H$400,M$5,Transações!$I$4:$I$400,$B$3)</f>
        <v>0</v>
      </c>
      <c r="N13" s="9" t="n">
        <f aca="false">SUM(B13:M13)</f>
        <v>0</v>
      </c>
    </row>
    <row r="14" customFormat="false" ht="15" hidden="false" customHeight="false" outlineLevel="0" collapsed="false">
      <c r="A14" s="8" t="s">
        <v>25</v>
      </c>
      <c r="B14" s="9" t="n">
        <f aca="false">SUMIFS(Transações!$F$4:$F$400,Transações!$D$4:$D$400,"Despesa",Transações!$C$4:$C$400,$A14,Transações!$H$4:$H$400,B$5,Transações!$I$4:$I$400,$B$3)</f>
        <v>0</v>
      </c>
      <c r="C14" s="9" t="n">
        <f aca="false">SUMIFS(Transações!$F$4:$F$400,Transações!$D$4:$D$400,"Despesa",Transações!$C$4:$C$400,$A14,Transações!$H$4:$H$400,C$5,Transações!$I$4:$I$400,$B$3)</f>
        <v>0</v>
      </c>
      <c r="D14" s="9" t="n">
        <f aca="false">SUMIFS(Transações!$F$4:$F$400,Transações!$D$4:$D$400,"Despesa",Transações!$C$4:$C$400,$A14,Transações!$H$4:$H$400,D$5,Transações!$I$4:$I$400,$B$3)</f>
        <v>0</v>
      </c>
      <c r="E14" s="9" t="n">
        <f aca="false">SUMIFS(Transações!$F$4:$F$400,Transações!$D$4:$D$400,"Despesa",Transações!$C$4:$C$400,$A14,Transações!$H$4:$H$400,E$5,Transações!$I$4:$I$400,$B$3)</f>
        <v>0</v>
      </c>
      <c r="F14" s="9" t="n">
        <f aca="false">SUMIFS(Transações!$F$4:$F$400,Transações!$D$4:$D$400,"Despesa",Transações!$C$4:$C$400,$A14,Transações!$H$4:$H$400,F$5,Transações!$I$4:$I$400,$B$3)</f>
        <v>0</v>
      </c>
      <c r="G14" s="9" t="n">
        <f aca="false">SUMIFS(Transações!$F$4:$F$400,Transações!$D$4:$D$400,"Despesa",Transações!$C$4:$C$400,$A14,Transações!$H$4:$H$400,G$5,Transações!$I$4:$I$400,$B$3)</f>
        <v>0</v>
      </c>
      <c r="H14" s="9" t="n">
        <f aca="false">SUMIFS(Transações!$F$4:$F$400,Transações!$D$4:$D$400,"Despesa",Transações!$C$4:$C$400,$A14,Transações!$H$4:$H$400,H$5,Transações!$I$4:$I$400,$B$3)</f>
        <v>0</v>
      </c>
      <c r="I14" s="9" t="n">
        <f aca="false">SUMIFS(Transações!$F$4:$F$400,Transações!$D$4:$D$400,"Despesa",Transações!$C$4:$C$400,$A14,Transações!$H$4:$H$400,I$5,Transações!$I$4:$I$400,$B$3)</f>
        <v>0</v>
      </c>
      <c r="J14" s="9" t="n">
        <f aca="false">SUMIFS(Transações!$F$4:$F$400,Transações!$D$4:$D$400,"Despesa",Transações!$C$4:$C$400,$A14,Transações!$H$4:$H$400,J$5,Transações!$I$4:$I$400,$B$3)</f>
        <v>0</v>
      </c>
      <c r="K14" s="9" t="n">
        <f aca="false">SUMIFS(Transações!$F$4:$F$400,Transações!$D$4:$D$400,"Despesa",Transações!$C$4:$C$400,$A14,Transações!$H$4:$H$400,K$5,Transações!$I$4:$I$400,$B$3)</f>
        <v>0</v>
      </c>
      <c r="L14" s="9" t="n">
        <f aca="false">SUMIFS(Transações!$F$4:$F$400,Transações!$D$4:$D$400,"Despesa",Transações!$C$4:$C$400,$A14,Transações!$H$4:$H$400,L$5,Transações!$I$4:$I$400,$B$3)</f>
        <v>0</v>
      </c>
      <c r="M14" s="9" t="n">
        <f aca="false">SUMIFS(Transações!$F$4:$F$400,Transações!$D$4:$D$400,"Despesa",Transações!$C$4:$C$400,$A14,Transações!$H$4:$H$400,M$5,Transações!$I$4:$I$400,$B$3)</f>
        <v>0</v>
      </c>
      <c r="N14" s="9" t="n">
        <f aca="false">SUM(B14:M14)</f>
        <v>0</v>
      </c>
    </row>
    <row r="15" customFormat="false" ht="15" hidden="false" customHeight="false" outlineLevel="0" collapsed="false">
      <c r="A15" s="8" t="s">
        <v>27</v>
      </c>
      <c r="B15" s="9" t="n">
        <f aca="false">SUMIFS(Transações!$F$4:$F$400,Transações!$D$4:$D$400,"Despesa",Transações!$C$4:$C$400,$A15,Transações!$H$4:$H$400,B$5,Transações!$I$4:$I$400,$B$3)</f>
        <v>0</v>
      </c>
      <c r="C15" s="9" t="n">
        <f aca="false">SUMIFS(Transações!$F$4:$F$400,Transações!$D$4:$D$400,"Despesa",Transações!$C$4:$C$400,$A15,Transações!$H$4:$H$400,C$5,Transações!$I$4:$I$400,$B$3)</f>
        <v>0</v>
      </c>
      <c r="D15" s="9" t="n">
        <f aca="false">SUMIFS(Transações!$F$4:$F$400,Transações!$D$4:$D$400,"Despesa",Transações!$C$4:$C$400,$A15,Transações!$H$4:$H$400,D$5,Transações!$I$4:$I$400,$B$3)</f>
        <v>0</v>
      </c>
      <c r="E15" s="9" t="n">
        <f aca="false">SUMIFS(Transações!$F$4:$F$400,Transações!$D$4:$D$400,"Despesa",Transações!$C$4:$C$400,$A15,Transações!$H$4:$H$400,E$5,Transações!$I$4:$I$400,$B$3)</f>
        <v>0</v>
      </c>
      <c r="F15" s="9" t="n">
        <f aca="false">SUMIFS(Transações!$F$4:$F$400,Transações!$D$4:$D$400,"Despesa",Transações!$C$4:$C$400,$A15,Transações!$H$4:$H$400,F$5,Transações!$I$4:$I$400,$B$3)</f>
        <v>0</v>
      </c>
      <c r="G15" s="9" t="n">
        <f aca="false">SUMIFS(Transações!$F$4:$F$400,Transações!$D$4:$D$400,"Despesa",Transações!$C$4:$C$400,$A15,Transações!$H$4:$H$400,G$5,Transações!$I$4:$I$400,$B$3)</f>
        <v>0</v>
      </c>
      <c r="H15" s="9" t="n">
        <f aca="false">SUMIFS(Transações!$F$4:$F$400,Transações!$D$4:$D$400,"Despesa",Transações!$C$4:$C$400,$A15,Transações!$H$4:$H$400,H$5,Transações!$I$4:$I$400,$B$3)</f>
        <v>0</v>
      </c>
      <c r="I15" s="9" t="n">
        <f aca="false">SUMIFS(Transações!$F$4:$F$400,Transações!$D$4:$D$400,"Despesa",Transações!$C$4:$C$400,$A15,Transações!$H$4:$H$400,I$5,Transações!$I$4:$I$400,$B$3)</f>
        <v>0</v>
      </c>
      <c r="J15" s="9" t="n">
        <f aca="false">SUMIFS(Transações!$F$4:$F$400,Transações!$D$4:$D$400,"Despesa",Transações!$C$4:$C$400,$A15,Transações!$H$4:$H$400,J$5,Transações!$I$4:$I$400,$B$3)</f>
        <v>0</v>
      </c>
      <c r="K15" s="9" t="n">
        <f aca="false">SUMIFS(Transações!$F$4:$F$400,Transações!$D$4:$D$400,"Despesa",Transações!$C$4:$C$400,$A15,Transações!$H$4:$H$400,K$5,Transações!$I$4:$I$400,$B$3)</f>
        <v>0</v>
      </c>
      <c r="L15" s="9" t="n">
        <f aca="false">SUMIFS(Transações!$F$4:$F$400,Transações!$D$4:$D$400,"Despesa",Transações!$C$4:$C$400,$A15,Transações!$H$4:$H$400,L$5,Transações!$I$4:$I$400,$B$3)</f>
        <v>0</v>
      </c>
      <c r="M15" s="9" t="n">
        <f aca="false">SUMIFS(Transações!$F$4:$F$400,Transações!$D$4:$D$400,"Despesa",Transações!$C$4:$C$400,$A15,Transações!$H$4:$H$400,M$5,Transações!$I$4:$I$400,$B$3)</f>
        <v>0</v>
      </c>
      <c r="N15" s="9" t="n">
        <f aca="false">SUM(B15:M15)</f>
        <v>0</v>
      </c>
    </row>
    <row r="16" customFormat="false" ht="15" hidden="false" customHeight="false" outlineLevel="0" collapsed="false">
      <c r="A16" s="8" t="s">
        <v>28</v>
      </c>
      <c r="B16" s="9" t="n">
        <f aca="false">SUMIFS(Transações!$F$4:$F$400,Transações!$D$4:$D$400,"Despesa",Transações!$C$4:$C$400,$A16,Transações!$H$4:$H$400,B$5,Transações!$I$4:$I$400,$B$3)</f>
        <v>0</v>
      </c>
      <c r="C16" s="9" t="n">
        <f aca="false">SUMIFS(Transações!$F$4:$F$400,Transações!$D$4:$D$400,"Despesa",Transações!$C$4:$C$400,$A16,Transações!$H$4:$H$400,C$5,Transações!$I$4:$I$400,$B$3)</f>
        <v>0</v>
      </c>
      <c r="D16" s="9" t="n">
        <f aca="false">SUMIFS(Transações!$F$4:$F$400,Transações!$D$4:$D$400,"Despesa",Transações!$C$4:$C$400,$A16,Transações!$H$4:$H$400,D$5,Transações!$I$4:$I$400,$B$3)</f>
        <v>0</v>
      </c>
      <c r="E16" s="9" t="n">
        <f aca="false">SUMIFS(Transações!$F$4:$F$400,Transações!$D$4:$D$400,"Despesa",Transações!$C$4:$C$400,$A16,Transações!$H$4:$H$400,E$5,Transações!$I$4:$I$400,$B$3)</f>
        <v>0</v>
      </c>
      <c r="F16" s="9" t="n">
        <f aca="false">SUMIFS(Transações!$F$4:$F$400,Transações!$D$4:$D$400,"Despesa",Transações!$C$4:$C$400,$A16,Transações!$H$4:$H$400,F$5,Transações!$I$4:$I$400,$B$3)</f>
        <v>0</v>
      </c>
      <c r="G16" s="9" t="n">
        <f aca="false">SUMIFS(Transações!$F$4:$F$400,Transações!$D$4:$D$400,"Despesa",Transações!$C$4:$C$400,$A16,Transações!$H$4:$H$400,G$5,Transações!$I$4:$I$400,$B$3)</f>
        <v>0</v>
      </c>
      <c r="H16" s="9" t="n">
        <f aca="false">SUMIFS(Transações!$F$4:$F$400,Transações!$D$4:$D$400,"Despesa",Transações!$C$4:$C$400,$A16,Transações!$H$4:$H$400,H$5,Transações!$I$4:$I$400,$B$3)</f>
        <v>0</v>
      </c>
      <c r="I16" s="9" t="n">
        <f aca="false">SUMIFS(Transações!$F$4:$F$400,Transações!$D$4:$D$400,"Despesa",Transações!$C$4:$C$400,$A16,Transações!$H$4:$H$400,I$5,Transações!$I$4:$I$400,$B$3)</f>
        <v>0</v>
      </c>
      <c r="J16" s="9" t="n">
        <f aca="false">SUMIFS(Transações!$F$4:$F$400,Transações!$D$4:$D$400,"Despesa",Transações!$C$4:$C$400,$A16,Transações!$H$4:$H$400,J$5,Transações!$I$4:$I$400,$B$3)</f>
        <v>0</v>
      </c>
      <c r="K16" s="9" t="n">
        <f aca="false">SUMIFS(Transações!$F$4:$F$400,Transações!$D$4:$D$400,"Despesa",Transações!$C$4:$C$400,$A16,Transações!$H$4:$H$400,K$5,Transações!$I$4:$I$400,$B$3)</f>
        <v>0</v>
      </c>
      <c r="L16" s="9" t="n">
        <f aca="false">SUMIFS(Transações!$F$4:$F$400,Transações!$D$4:$D$400,"Despesa",Transações!$C$4:$C$400,$A16,Transações!$H$4:$H$400,L$5,Transações!$I$4:$I$400,$B$3)</f>
        <v>0</v>
      </c>
      <c r="M16" s="9" t="n">
        <f aca="false">SUMIFS(Transações!$F$4:$F$400,Transações!$D$4:$D$400,"Despesa",Transações!$C$4:$C$400,$A16,Transações!$H$4:$H$400,M$5,Transações!$I$4:$I$400,$B$3)</f>
        <v>0</v>
      </c>
      <c r="N16" s="9" t="n">
        <f aca="false">SUM(B16:M16)</f>
        <v>0</v>
      </c>
    </row>
    <row r="17" customFormat="false" ht="15" hidden="false" customHeight="false" outlineLevel="0" collapsed="false">
      <c r="A17" s="8" t="s">
        <v>29</v>
      </c>
      <c r="B17" s="9" t="n">
        <f aca="false">SUMIFS(Transações!$F$4:$F$400,Transações!$D$4:$D$400,"Despesa",Transações!$C$4:$C$400,$A17,Transações!$H$4:$H$400,B$5,Transações!$I$4:$I$400,$B$3)</f>
        <v>0</v>
      </c>
      <c r="C17" s="9" t="n">
        <f aca="false">SUMIFS(Transações!$F$4:$F$400,Transações!$D$4:$D$400,"Despesa",Transações!$C$4:$C$400,$A17,Transações!$H$4:$H$400,C$5,Transações!$I$4:$I$400,$B$3)</f>
        <v>0</v>
      </c>
      <c r="D17" s="9" t="n">
        <f aca="false">SUMIFS(Transações!$F$4:$F$400,Transações!$D$4:$D$400,"Despesa",Transações!$C$4:$C$400,$A17,Transações!$H$4:$H$400,D$5,Transações!$I$4:$I$400,$B$3)</f>
        <v>0</v>
      </c>
      <c r="E17" s="9" t="n">
        <f aca="false">SUMIFS(Transações!$F$4:$F$400,Transações!$D$4:$D$400,"Despesa",Transações!$C$4:$C$400,$A17,Transações!$H$4:$H$400,E$5,Transações!$I$4:$I$400,$B$3)</f>
        <v>0</v>
      </c>
      <c r="F17" s="9" t="n">
        <f aca="false">SUMIFS(Transações!$F$4:$F$400,Transações!$D$4:$D$400,"Despesa",Transações!$C$4:$C$400,$A17,Transações!$H$4:$H$400,F$5,Transações!$I$4:$I$400,$B$3)</f>
        <v>0</v>
      </c>
      <c r="G17" s="9" t="n">
        <f aca="false">SUMIFS(Transações!$F$4:$F$400,Transações!$D$4:$D$400,"Despesa",Transações!$C$4:$C$400,$A17,Transações!$H$4:$H$400,G$5,Transações!$I$4:$I$400,$B$3)</f>
        <v>0</v>
      </c>
      <c r="H17" s="9" t="n">
        <f aca="false">SUMIFS(Transações!$F$4:$F$400,Transações!$D$4:$D$400,"Despesa",Transações!$C$4:$C$400,$A17,Transações!$H$4:$H$400,H$5,Transações!$I$4:$I$400,$B$3)</f>
        <v>0</v>
      </c>
      <c r="I17" s="9" t="n">
        <f aca="false">SUMIFS(Transações!$F$4:$F$400,Transações!$D$4:$D$400,"Despesa",Transações!$C$4:$C$400,$A17,Transações!$H$4:$H$400,I$5,Transações!$I$4:$I$400,$B$3)</f>
        <v>0</v>
      </c>
      <c r="J17" s="9" t="n">
        <f aca="false">SUMIFS(Transações!$F$4:$F$400,Transações!$D$4:$D$400,"Despesa",Transações!$C$4:$C$400,$A17,Transações!$H$4:$H$400,J$5,Transações!$I$4:$I$400,$B$3)</f>
        <v>0</v>
      </c>
      <c r="K17" s="9" t="n">
        <f aca="false">SUMIFS(Transações!$F$4:$F$400,Transações!$D$4:$D$400,"Despesa",Transações!$C$4:$C$400,$A17,Transações!$H$4:$H$400,K$5,Transações!$I$4:$I$400,$B$3)</f>
        <v>0</v>
      </c>
      <c r="L17" s="9" t="n">
        <f aca="false">SUMIFS(Transações!$F$4:$F$400,Transações!$D$4:$D$400,"Despesa",Transações!$C$4:$C$400,$A17,Transações!$H$4:$H$400,L$5,Transações!$I$4:$I$400,$B$3)</f>
        <v>0</v>
      </c>
      <c r="M17" s="9" t="n">
        <f aca="false">SUMIFS(Transações!$F$4:$F$400,Transações!$D$4:$D$400,"Despesa",Transações!$C$4:$C$400,$A17,Transações!$H$4:$H$400,M$5,Transações!$I$4:$I$400,$B$3)</f>
        <v>0</v>
      </c>
      <c r="N17" s="9" t="n">
        <f aca="false">SUM(B17:M17)</f>
        <v>0</v>
      </c>
    </row>
    <row r="18" customFormat="false" ht="15" hidden="false" customHeight="false" outlineLevel="0" collapsed="false">
      <c r="A18" s="8" t="s">
        <v>30</v>
      </c>
      <c r="B18" s="9" t="n">
        <f aca="false">SUMIFS(Transações!$F$4:$F$400,Transações!$D$4:$D$400,"Despesa",Transações!$C$4:$C$400,$A18,Transações!$H$4:$H$400,B$5,Transações!$I$4:$I$400,$B$3)</f>
        <v>0</v>
      </c>
      <c r="C18" s="9" t="n">
        <f aca="false">SUMIFS(Transações!$F$4:$F$400,Transações!$D$4:$D$400,"Despesa",Transações!$C$4:$C$400,$A18,Transações!$H$4:$H$400,C$5,Transações!$I$4:$I$400,$B$3)</f>
        <v>0</v>
      </c>
      <c r="D18" s="9" t="n">
        <f aca="false">SUMIFS(Transações!$F$4:$F$400,Transações!$D$4:$D$400,"Despesa",Transações!$C$4:$C$400,$A18,Transações!$H$4:$H$400,D$5,Transações!$I$4:$I$400,$B$3)</f>
        <v>0</v>
      </c>
      <c r="E18" s="9" t="n">
        <f aca="false">SUMIFS(Transações!$F$4:$F$400,Transações!$D$4:$D$400,"Despesa",Transações!$C$4:$C$400,$A18,Transações!$H$4:$H$400,E$5,Transações!$I$4:$I$400,$B$3)</f>
        <v>0</v>
      </c>
      <c r="F18" s="9" t="n">
        <f aca="false">SUMIFS(Transações!$F$4:$F$400,Transações!$D$4:$D$400,"Despesa",Transações!$C$4:$C$400,$A18,Transações!$H$4:$H$400,F$5,Transações!$I$4:$I$400,$B$3)</f>
        <v>0</v>
      </c>
      <c r="G18" s="9" t="n">
        <f aca="false">SUMIFS(Transações!$F$4:$F$400,Transações!$D$4:$D$400,"Despesa",Transações!$C$4:$C$400,$A18,Transações!$H$4:$H$400,G$5,Transações!$I$4:$I$400,$B$3)</f>
        <v>0</v>
      </c>
      <c r="H18" s="9" t="n">
        <f aca="false">SUMIFS(Transações!$F$4:$F$400,Transações!$D$4:$D$400,"Despesa",Transações!$C$4:$C$400,$A18,Transações!$H$4:$H$400,H$5,Transações!$I$4:$I$400,$B$3)</f>
        <v>0</v>
      </c>
      <c r="I18" s="9" t="n">
        <f aca="false">SUMIFS(Transações!$F$4:$F$400,Transações!$D$4:$D$400,"Despesa",Transações!$C$4:$C$400,$A18,Transações!$H$4:$H$400,I$5,Transações!$I$4:$I$400,$B$3)</f>
        <v>0</v>
      </c>
      <c r="J18" s="9" t="n">
        <f aca="false">SUMIFS(Transações!$F$4:$F$400,Transações!$D$4:$D$400,"Despesa",Transações!$C$4:$C$400,$A18,Transações!$H$4:$H$400,J$5,Transações!$I$4:$I$400,$B$3)</f>
        <v>0</v>
      </c>
      <c r="K18" s="9" t="n">
        <f aca="false">SUMIFS(Transações!$F$4:$F$400,Transações!$D$4:$D$400,"Despesa",Transações!$C$4:$C$400,$A18,Transações!$H$4:$H$400,K$5,Transações!$I$4:$I$400,$B$3)</f>
        <v>0</v>
      </c>
      <c r="L18" s="9" t="n">
        <f aca="false">SUMIFS(Transações!$F$4:$F$400,Transações!$D$4:$D$400,"Despesa",Transações!$C$4:$C$400,$A18,Transações!$H$4:$H$400,L$5,Transações!$I$4:$I$400,$B$3)</f>
        <v>0</v>
      </c>
      <c r="M18" s="9" t="n">
        <f aca="false">SUMIFS(Transações!$F$4:$F$400,Transações!$D$4:$D$400,"Despesa",Transações!$C$4:$C$400,$A18,Transações!$H$4:$H$400,M$5,Transações!$I$4:$I$400,$B$3)</f>
        <v>0</v>
      </c>
      <c r="N18" s="9" t="n">
        <f aca="false">SUM(B18:M18)</f>
        <v>0</v>
      </c>
    </row>
    <row r="19" customFormat="false" ht="15" hidden="false" customHeight="false" outlineLevel="0" collapsed="false">
      <c r="A19" s="8" t="s">
        <v>31</v>
      </c>
      <c r="B19" s="9" t="n">
        <f aca="false">SUMIFS(Transações!$F$4:$F$400,Transações!$D$4:$D$400,"Despesa",Transações!$C$4:$C$400,$A19,Transações!$H$4:$H$400,B$5,Transações!$I$4:$I$400,$B$3)</f>
        <v>0</v>
      </c>
      <c r="C19" s="9" t="n">
        <f aca="false">SUMIFS(Transações!$F$4:$F$400,Transações!$D$4:$D$400,"Despesa",Transações!$C$4:$C$400,$A19,Transações!$H$4:$H$400,C$5,Transações!$I$4:$I$400,$B$3)</f>
        <v>0</v>
      </c>
      <c r="D19" s="9" t="n">
        <f aca="false">SUMIFS(Transações!$F$4:$F$400,Transações!$D$4:$D$400,"Despesa",Transações!$C$4:$C$400,$A19,Transações!$H$4:$H$400,D$5,Transações!$I$4:$I$400,$B$3)</f>
        <v>0</v>
      </c>
      <c r="E19" s="9" t="n">
        <f aca="false">SUMIFS(Transações!$F$4:$F$400,Transações!$D$4:$D$400,"Despesa",Transações!$C$4:$C$400,$A19,Transações!$H$4:$H$400,E$5,Transações!$I$4:$I$400,$B$3)</f>
        <v>0</v>
      </c>
      <c r="F19" s="9" t="n">
        <f aca="false">SUMIFS(Transações!$F$4:$F$400,Transações!$D$4:$D$400,"Despesa",Transações!$C$4:$C$400,$A19,Transações!$H$4:$H$400,F$5,Transações!$I$4:$I$400,$B$3)</f>
        <v>0</v>
      </c>
      <c r="G19" s="9" t="n">
        <f aca="false">SUMIFS(Transações!$F$4:$F$400,Transações!$D$4:$D$400,"Despesa",Transações!$C$4:$C$400,$A19,Transações!$H$4:$H$400,G$5,Transações!$I$4:$I$400,$B$3)</f>
        <v>0</v>
      </c>
      <c r="H19" s="9" t="n">
        <f aca="false">SUMIFS(Transações!$F$4:$F$400,Transações!$D$4:$D$400,"Despesa",Transações!$C$4:$C$400,$A19,Transações!$H$4:$H$400,H$5,Transações!$I$4:$I$400,$B$3)</f>
        <v>0</v>
      </c>
      <c r="I19" s="9" t="n">
        <f aca="false">SUMIFS(Transações!$F$4:$F$400,Transações!$D$4:$D$400,"Despesa",Transações!$C$4:$C$400,$A19,Transações!$H$4:$H$400,I$5,Transações!$I$4:$I$400,$B$3)</f>
        <v>0</v>
      </c>
      <c r="J19" s="9" t="n">
        <f aca="false">SUMIFS(Transações!$F$4:$F$400,Transações!$D$4:$D$400,"Despesa",Transações!$C$4:$C$400,$A19,Transações!$H$4:$H$400,J$5,Transações!$I$4:$I$400,$B$3)</f>
        <v>0</v>
      </c>
      <c r="K19" s="9" t="n">
        <f aca="false">SUMIFS(Transações!$F$4:$F$400,Transações!$D$4:$D$400,"Despesa",Transações!$C$4:$C$400,$A19,Transações!$H$4:$H$400,K$5,Transações!$I$4:$I$400,$B$3)</f>
        <v>0</v>
      </c>
      <c r="L19" s="9" t="n">
        <f aca="false">SUMIFS(Transações!$F$4:$F$400,Transações!$D$4:$D$400,"Despesa",Transações!$C$4:$C$400,$A19,Transações!$H$4:$H$400,L$5,Transações!$I$4:$I$400,$B$3)</f>
        <v>0</v>
      </c>
      <c r="M19" s="9" t="n">
        <f aca="false">SUMIFS(Transações!$F$4:$F$400,Transações!$D$4:$D$400,"Despesa",Transações!$C$4:$C$400,$A19,Transações!$H$4:$H$400,M$5,Transações!$I$4:$I$400,$B$3)</f>
        <v>0</v>
      </c>
      <c r="N19" s="9" t="n">
        <f aca="false">SUM(B19:M19)</f>
        <v>0</v>
      </c>
    </row>
    <row r="20" customFormat="false" ht="15" hidden="false" customHeight="false" outlineLevel="0" collapsed="false">
      <c r="A20" s="8" t="s">
        <v>32</v>
      </c>
      <c r="B20" s="9" t="n">
        <f aca="false">SUMIFS(Transações!$F$4:$F$400,Transações!$D$4:$D$400,"Despesa",Transações!$C$4:$C$400,$A20,Transações!$H$4:$H$400,B$5,Transações!$I$4:$I$400,$B$3)</f>
        <v>0</v>
      </c>
      <c r="C20" s="9" t="n">
        <f aca="false">SUMIFS(Transações!$F$4:$F$400,Transações!$D$4:$D$400,"Despesa",Transações!$C$4:$C$400,$A20,Transações!$H$4:$H$400,C$5,Transações!$I$4:$I$400,$B$3)</f>
        <v>0</v>
      </c>
      <c r="D20" s="9" t="n">
        <f aca="false">SUMIFS(Transações!$F$4:$F$400,Transações!$D$4:$D$400,"Despesa",Transações!$C$4:$C$400,$A20,Transações!$H$4:$H$400,D$5,Transações!$I$4:$I$400,$B$3)</f>
        <v>0</v>
      </c>
      <c r="E20" s="9" t="n">
        <f aca="false">SUMIFS(Transações!$F$4:$F$400,Transações!$D$4:$D$400,"Despesa",Transações!$C$4:$C$400,$A20,Transações!$H$4:$H$400,E$5,Transações!$I$4:$I$400,$B$3)</f>
        <v>0</v>
      </c>
      <c r="F20" s="9" t="n">
        <f aca="false">SUMIFS(Transações!$F$4:$F$400,Transações!$D$4:$D$400,"Despesa",Transações!$C$4:$C$400,$A20,Transações!$H$4:$H$400,F$5,Transações!$I$4:$I$400,$B$3)</f>
        <v>0</v>
      </c>
      <c r="G20" s="9" t="n">
        <f aca="false">SUMIFS(Transações!$F$4:$F$400,Transações!$D$4:$D$400,"Despesa",Transações!$C$4:$C$400,$A20,Transações!$H$4:$H$400,G$5,Transações!$I$4:$I$400,$B$3)</f>
        <v>0</v>
      </c>
      <c r="H20" s="9" t="n">
        <f aca="false">SUMIFS(Transações!$F$4:$F$400,Transações!$D$4:$D$400,"Despesa",Transações!$C$4:$C$400,$A20,Transações!$H$4:$H$400,H$5,Transações!$I$4:$I$400,$B$3)</f>
        <v>0</v>
      </c>
      <c r="I20" s="9" t="n">
        <f aca="false">SUMIFS(Transações!$F$4:$F$400,Transações!$D$4:$D$400,"Despesa",Transações!$C$4:$C$400,$A20,Transações!$H$4:$H$400,I$5,Transações!$I$4:$I$400,$B$3)</f>
        <v>0</v>
      </c>
      <c r="J20" s="9" t="n">
        <f aca="false">SUMIFS(Transações!$F$4:$F$400,Transações!$D$4:$D$400,"Despesa",Transações!$C$4:$C$400,$A20,Transações!$H$4:$H$400,J$5,Transações!$I$4:$I$400,$B$3)</f>
        <v>0</v>
      </c>
      <c r="K20" s="9" t="n">
        <f aca="false">SUMIFS(Transações!$F$4:$F$400,Transações!$D$4:$D$400,"Despesa",Transações!$C$4:$C$400,$A20,Transações!$H$4:$H$400,K$5,Transações!$I$4:$I$400,$B$3)</f>
        <v>0</v>
      </c>
      <c r="L20" s="9" t="n">
        <f aca="false">SUMIFS(Transações!$F$4:$F$400,Transações!$D$4:$D$400,"Despesa",Transações!$C$4:$C$400,$A20,Transações!$H$4:$H$400,L$5,Transações!$I$4:$I$400,$B$3)</f>
        <v>0</v>
      </c>
      <c r="M20" s="9" t="n">
        <f aca="false">SUMIFS(Transações!$F$4:$F$400,Transações!$D$4:$D$400,"Despesa",Transações!$C$4:$C$400,$A20,Transações!$H$4:$H$400,M$5,Transações!$I$4:$I$400,$B$3)</f>
        <v>0</v>
      </c>
      <c r="N20" s="9" t="n">
        <f aca="false">SUM(B20:M20)</f>
        <v>0</v>
      </c>
    </row>
    <row r="21" customFormat="false" ht="15" hidden="false" customHeight="false" outlineLevel="0" collapsed="false">
      <c r="A21" s="8" t="s">
        <v>33</v>
      </c>
      <c r="B21" s="9" t="n">
        <f aca="false">SUMIFS(Transações!$F$4:$F$400,Transações!$D$4:$D$400,"Despesa",Transações!$C$4:$C$400,$A21,Transações!$H$4:$H$400,B$5,Transações!$I$4:$I$400,$B$3)</f>
        <v>0</v>
      </c>
      <c r="C21" s="9" t="n">
        <f aca="false">SUMIFS(Transações!$F$4:$F$400,Transações!$D$4:$D$400,"Despesa",Transações!$C$4:$C$400,$A21,Transações!$H$4:$H$400,C$5,Transações!$I$4:$I$400,$B$3)</f>
        <v>0</v>
      </c>
      <c r="D21" s="9" t="n">
        <f aca="false">SUMIFS(Transações!$F$4:$F$400,Transações!$D$4:$D$400,"Despesa",Transações!$C$4:$C$400,$A21,Transações!$H$4:$H$400,D$5,Transações!$I$4:$I$400,$B$3)</f>
        <v>0</v>
      </c>
      <c r="E21" s="9" t="n">
        <f aca="false">SUMIFS(Transações!$F$4:$F$400,Transações!$D$4:$D$400,"Despesa",Transações!$C$4:$C$400,$A21,Transações!$H$4:$H$400,E$5,Transações!$I$4:$I$400,$B$3)</f>
        <v>0</v>
      </c>
      <c r="F21" s="9" t="n">
        <f aca="false">SUMIFS(Transações!$F$4:$F$400,Transações!$D$4:$D$400,"Despesa",Transações!$C$4:$C$400,$A21,Transações!$H$4:$H$400,F$5,Transações!$I$4:$I$400,$B$3)</f>
        <v>0</v>
      </c>
      <c r="G21" s="9" t="n">
        <f aca="false">SUMIFS(Transações!$F$4:$F$400,Transações!$D$4:$D$400,"Despesa",Transações!$C$4:$C$400,$A21,Transações!$H$4:$H$400,G$5,Transações!$I$4:$I$400,$B$3)</f>
        <v>0</v>
      </c>
      <c r="H21" s="9" t="n">
        <f aca="false">SUMIFS(Transações!$F$4:$F$400,Transações!$D$4:$D$400,"Despesa",Transações!$C$4:$C$400,$A21,Transações!$H$4:$H$400,H$5,Transações!$I$4:$I$400,$B$3)</f>
        <v>0</v>
      </c>
      <c r="I21" s="9" t="n">
        <f aca="false">SUMIFS(Transações!$F$4:$F$400,Transações!$D$4:$D$400,"Despesa",Transações!$C$4:$C$400,$A21,Transações!$H$4:$H$400,I$5,Transações!$I$4:$I$400,$B$3)</f>
        <v>0</v>
      </c>
      <c r="J21" s="9" t="n">
        <f aca="false">SUMIFS(Transações!$F$4:$F$400,Transações!$D$4:$D$400,"Despesa",Transações!$C$4:$C$400,$A21,Transações!$H$4:$H$400,J$5,Transações!$I$4:$I$400,$B$3)</f>
        <v>0</v>
      </c>
      <c r="K21" s="9" t="n">
        <f aca="false">SUMIFS(Transações!$F$4:$F$400,Transações!$D$4:$D$400,"Despesa",Transações!$C$4:$C$400,$A21,Transações!$H$4:$H$400,K$5,Transações!$I$4:$I$400,$B$3)</f>
        <v>0</v>
      </c>
      <c r="L21" s="9" t="n">
        <f aca="false">SUMIFS(Transações!$F$4:$F$400,Transações!$D$4:$D$400,"Despesa",Transações!$C$4:$C$400,$A21,Transações!$H$4:$H$400,L$5,Transações!$I$4:$I$400,$B$3)</f>
        <v>0</v>
      </c>
      <c r="M21" s="9" t="n">
        <f aca="false">SUMIFS(Transações!$F$4:$F$400,Transações!$D$4:$D$400,"Despesa",Transações!$C$4:$C$400,$A21,Transações!$H$4:$H$400,M$5,Transações!$I$4:$I$400,$B$3)</f>
        <v>0</v>
      </c>
      <c r="N21" s="9" t="n">
        <f aca="false">SUM(B21:M21)</f>
        <v>0</v>
      </c>
    </row>
    <row r="22" customFormat="false" ht="15" hidden="false" customHeight="false" outlineLevel="0" collapsed="false">
      <c r="A22" s="8" t="s">
        <v>34</v>
      </c>
      <c r="B22" s="9" t="n">
        <f aca="false">SUMIFS(Transações!$F$4:$F$400,Transações!$D$4:$D$400,"Despesa",Transações!$C$4:$C$400,$A22,Transações!$H$4:$H$400,B$5,Transações!$I$4:$I$400,$B$3)</f>
        <v>0</v>
      </c>
      <c r="C22" s="9" t="n">
        <f aca="false">SUMIFS(Transações!$F$4:$F$400,Transações!$D$4:$D$400,"Despesa",Transações!$C$4:$C$400,$A22,Transações!$H$4:$H$400,C$5,Transações!$I$4:$I$400,$B$3)</f>
        <v>0</v>
      </c>
      <c r="D22" s="9" t="n">
        <f aca="false">SUMIFS(Transações!$F$4:$F$400,Transações!$D$4:$D$400,"Despesa",Transações!$C$4:$C$400,$A22,Transações!$H$4:$H$400,D$5,Transações!$I$4:$I$400,$B$3)</f>
        <v>0</v>
      </c>
      <c r="E22" s="9" t="n">
        <f aca="false">SUMIFS(Transações!$F$4:$F$400,Transações!$D$4:$D$400,"Despesa",Transações!$C$4:$C$400,$A22,Transações!$H$4:$H$400,E$5,Transações!$I$4:$I$400,$B$3)</f>
        <v>0</v>
      </c>
      <c r="F22" s="9" t="n">
        <f aca="false">SUMIFS(Transações!$F$4:$F$400,Transações!$D$4:$D$400,"Despesa",Transações!$C$4:$C$400,$A22,Transações!$H$4:$H$400,F$5,Transações!$I$4:$I$400,$B$3)</f>
        <v>0</v>
      </c>
      <c r="G22" s="9" t="n">
        <f aca="false">SUMIFS(Transações!$F$4:$F$400,Transações!$D$4:$D$400,"Despesa",Transações!$C$4:$C$400,$A22,Transações!$H$4:$H$400,G$5,Transações!$I$4:$I$400,$B$3)</f>
        <v>0</v>
      </c>
      <c r="H22" s="9" t="n">
        <f aca="false">SUMIFS(Transações!$F$4:$F$400,Transações!$D$4:$D$400,"Despesa",Transações!$C$4:$C$400,$A22,Transações!$H$4:$H$400,H$5,Transações!$I$4:$I$400,$B$3)</f>
        <v>0</v>
      </c>
      <c r="I22" s="9" t="n">
        <f aca="false">SUMIFS(Transações!$F$4:$F$400,Transações!$D$4:$D$400,"Despesa",Transações!$C$4:$C$400,$A22,Transações!$H$4:$H$400,I$5,Transações!$I$4:$I$400,$B$3)</f>
        <v>0</v>
      </c>
      <c r="J22" s="9" t="n">
        <f aca="false">SUMIFS(Transações!$F$4:$F$400,Transações!$D$4:$D$400,"Despesa",Transações!$C$4:$C$400,$A22,Transações!$H$4:$H$400,J$5,Transações!$I$4:$I$400,$B$3)</f>
        <v>0</v>
      </c>
      <c r="K22" s="9" t="n">
        <f aca="false">SUMIFS(Transações!$F$4:$F$400,Transações!$D$4:$D$400,"Despesa",Transações!$C$4:$C$400,$A22,Transações!$H$4:$H$400,K$5,Transações!$I$4:$I$400,$B$3)</f>
        <v>0</v>
      </c>
      <c r="L22" s="9" t="n">
        <f aca="false">SUMIFS(Transações!$F$4:$F$400,Transações!$D$4:$D$400,"Despesa",Transações!$C$4:$C$400,$A22,Transações!$H$4:$H$400,L$5,Transações!$I$4:$I$400,$B$3)</f>
        <v>0</v>
      </c>
      <c r="M22" s="9" t="n">
        <f aca="false">SUMIFS(Transações!$F$4:$F$400,Transações!$D$4:$D$400,"Despesa",Transações!$C$4:$C$400,$A22,Transações!$H$4:$H$400,M$5,Transações!$I$4:$I$400,$B$3)</f>
        <v>0</v>
      </c>
      <c r="N22" s="9" t="n">
        <f aca="false">SUM(B22:M22)</f>
        <v>0</v>
      </c>
    </row>
    <row r="23" customFormat="false" ht="15" hidden="false" customHeight="false" outlineLevel="0" collapsed="false">
      <c r="A23" s="4" t="s">
        <v>79</v>
      </c>
      <c r="B23" s="23" t="n">
        <f aca="false">SUM(B7:B22)</f>
        <v>2870.3</v>
      </c>
      <c r="C23" s="23" t="n">
        <f aca="false">SUM(C7:C22)</f>
        <v>0</v>
      </c>
      <c r="D23" s="23" t="n">
        <f aca="false">SUM(D7:D22)</f>
        <v>0</v>
      </c>
      <c r="E23" s="23" t="n">
        <f aca="false">SUM(E7:E22)</f>
        <v>0</v>
      </c>
      <c r="F23" s="23" t="n">
        <f aca="false">SUM(F7:F22)</f>
        <v>0</v>
      </c>
      <c r="G23" s="23" t="n">
        <f aca="false">SUM(G7:G22)</f>
        <v>0</v>
      </c>
      <c r="H23" s="23" t="n">
        <f aca="false">SUM(H7:H22)</f>
        <v>0</v>
      </c>
      <c r="I23" s="23" t="n">
        <f aca="false">SUM(I7:I22)</f>
        <v>0</v>
      </c>
      <c r="J23" s="23" t="n">
        <f aca="false">SUM(J7:J22)</f>
        <v>0</v>
      </c>
      <c r="K23" s="23" t="n">
        <f aca="false">SUM(K7:K22)</f>
        <v>0</v>
      </c>
      <c r="L23" s="23" t="n">
        <f aca="false">SUM(L7:L22)</f>
        <v>0</v>
      </c>
      <c r="M23" s="23" t="n">
        <f aca="false">SUM(M7:M22)</f>
        <v>0</v>
      </c>
      <c r="N23" s="23" t="n">
        <f aca="false">SUM(B23:M23)</f>
        <v>2870.3</v>
      </c>
    </row>
    <row r="24" customFormat="false" ht="15" hidden="false" customHeight="false" outlineLevel="0" collapsed="false">
      <c r="A24" s="10" t="s">
        <v>5</v>
      </c>
      <c r="B24" s="11" t="n">
        <f aca="false">B6-B23</f>
        <v>3629.7</v>
      </c>
      <c r="C24" s="11" t="n">
        <f aca="false">C6-C23</f>
        <v>0</v>
      </c>
      <c r="D24" s="11" t="n">
        <f aca="false">D6-D23</f>
        <v>0</v>
      </c>
      <c r="E24" s="11" t="n">
        <f aca="false">E6-E23</f>
        <v>0</v>
      </c>
      <c r="F24" s="11" t="n">
        <f aca="false">F6-F23</f>
        <v>0</v>
      </c>
      <c r="G24" s="11" t="n">
        <f aca="false">G6-G23</f>
        <v>0</v>
      </c>
      <c r="H24" s="11" t="n">
        <f aca="false">H6-H23</f>
        <v>0</v>
      </c>
      <c r="I24" s="11" t="n">
        <f aca="false">I6-I23</f>
        <v>0</v>
      </c>
      <c r="J24" s="11" t="n">
        <f aca="false">J6-J23</f>
        <v>0</v>
      </c>
      <c r="K24" s="11" t="n">
        <f aca="false">K6-K23</f>
        <v>0</v>
      </c>
      <c r="L24" s="11" t="n">
        <f aca="false">L6-L23</f>
        <v>0</v>
      </c>
      <c r="M24" s="11" t="n">
        <f aca="false">M6-M23</f>
        <v>0</v>
      </c>
      <c r="N24" s="11" t="n">
        <f aca="false">SUM(B24:M24)</f>
        <v>3629.7</v>
      </c>
    </row>
    <row r="25" customFormat="false" ht="15" hidden="false" customHeight="false" outlineLevel="0" collapsed="false">
      <c r="A25" s="10" t="s">
        <v>80</v>
      </c>
      <c r="B25" s="11" t="n">
        <f aca="false">B24</f>
        <v>3629.7</v>
      </c>
      <c r="C25" s="11" t="n">
        <f aca="false">B25+C24</f>
        <v>3629.7</v>
      </c>
      <c r="D25" s="11" t="n">
        <f aca="false">C25+D24</f>
        <v>3629.7</v>
      </c>
      <c r="E25" s="11" t="n">
        <f aca="false">D25+E24</f>
        <v>3629.7</v>
      </c>
      <c r="F25" s="11" t="n">
        <f aca="false">E25+F24</f>
        <v>3629.7</v>
      </c>
      <c r="G25" s="11" t="n">
        <f aca="false">F25+G24</f>
        <v>3629.7</v>
      </c>
      <c r="H25" s="11" t="n">
        <f aca="false">G25+H24</f>
        <v>3629.7</v>
      </c>
      <c r="I25" s="11" t="n">
        <f aca="false">H25+I24</f>
        <v>3629.7</v>
      </c>
      <c r="J25" s="11" t="n">
        <f aca="false">I25+J24</f>
        <v>3629.7</v>
      </c>
      <c r="K25" s="11" t="n">
        <f aca="false">J25+K24</f>
        <v>3629.7</v>
      </c>
      <c r="L25" s="11" t="n">
        <f aca="false">K25+L24</f>
        <v>3629.7</v>
      </c>
      <c r="M25" s="11" t="n">
        <f aca="false">L25+M24</f>
        <v>3629.7</v>
      </c>
      <c r="N25" s="11" t="n">
        <f aca="false">M25</f>
        <v>3629.7</v>
      </c>
    </row>
  </sheetData>
  <mergeCells count="1">
    <mergeCell ref="A1:N1"/>
  </mergeCells>
  <conditionalFormatting sqref="B24:N25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5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8"/>
    <col collapsed="false" customWidth="true" hidden="false" outlineLevel="0" max="7" min="7" style="0" width="14"/>
  </cols>
  <sheetData>
    <row r="1" customFormat="false" ht="27.75" hidden="false" customHeight="true" outlineLevel="0" collapsed="false">
      <c r="A1" s="1" t="s">
        <v>81</v>
      </c>
      <c r="B1" s="1"/>
      <c r="C1" s="1"/>
      <c r="D1" s="1"/>
      <c r="E1" s="1"/>
      <c r="F1" s="1"/>
      <c r="G1" s="1"/>
    </row>
    <row r="2" customFormat="false" ht="25.5" hidden="false" customHeight="true" outlineLevel="0" collapsed="false">
      <c r="A2" s="12" t="s">
        <v>82</v>
      </c>
      <c r="B2" s="12"/>
      <c r="C2" s="12"/>
      <c r="D2" s="12"/>
      <c r="E2" s="12"/>
      <c r="F2" s="12"/>
      <c r="G2" s="12"/>
    </row>
    <row r="4" customFormat="false" ht="27.75" hidden="false" customHeight="true" outlineLevel="0" collapsed="false">
      <c r="A4" s="13" t="s">
        <v>83</v>
      </c>
      <c r="B4" s="13" t="s">
        <v>84</v>
      </c>
      <c r="C4" s="13" t="s">
        <v>85</v>
      </c>
      <c r="D4" s="13" t="s">
        <v>86</v>
      </c>
      <c r="E4" s="13" t="s">
        <v>87</v>
      </c>
      <c r="F4" s="13" t="s">
        <v>88</v>
      </c>
      <c r="G4" s="13" t="s">
        <v>89</v>
      </c>
    </row>
    <row r="5" customFormat="false" ht="15" hidden="false" customHeight="false" outlineLevel="0" collapsed="false">
      <c r="A5" s="8" t="s">
        <v>90</v>
      </c>
      <c r="B5" s="9" t="n">
        <v>15000</v>
      </c>
      <c r="C5" s="9" t="n">
        <v>4000</v>
      </c>
      <c r="D5" s="14" t="n">
        <v>46387</v>
      </c>
      <c r="E5" s="24" t="n">
        <f aca="true">IF(D5="","",MAX(DATEDIF(TODAY(),D5,"m"),0))</f>
        <v>5</v>
      </c>
      <c r="F5" s="9" t="n">
        <f aca="false">IFERROR(IF(E5=0,B5-C5,(B5-C5)/E5),"-")</f>
        <v>2200</v>
      </c>
      <c r="G5" s="19" t="n">
        <f aca="false">IFERROR(C5/B5,"-")</f>
        <v>0.266666666666667</v>
      </c>
    </row>
    <row r="6" customFormat="false" ht="15" hidden="false" customHeight="false" outlineLevel="0" collapsed="false">
      <c r="A6" s="25"/>
      <c r="B6" s="18"/>
      <c r="C6" s="18"/>
      <c r="D6" s="26"/>
      <c r="E6" s="24" t="str">
        <f aca="true">IF(D6="","",MAX(DATEDIF(TODAY(),D6,"m"),0))</f>
        <v/>
      </c>
      <c r="F6" s="9" t="str">
        <f aca="false">IFERROR(IF(E6=0,B6-C6,(B6-C6)/E6),"-")</f>
        <v>-</v>
      </c>
      <c r="G6" s="19" t="str">
        <f aca="false">IFERROR(C6/B6,"-")</f>
        <v>-</v>
      </c>
    </row>
    <row r="7" customFormat="false" ht="15" hidden="false" customHeight="false" outlineLevel="0" collapsed="false">
      <c r="A7" s="25"/>
      <c r="B7" s="18"/>
      <c r="C7" s="18"/>
      <c r="D7" s="26"/>
      <c r="E7" s="24" t="str">
        <f aca="true">IF(D7="","",MAX(DATEDIF(TODAY(),D7,"m"),0))</f>
        <v/>
      </c>
      <c r="F7" s="9" t="str">
        <f aca="false">IFERROR(IF(E7=0,B7-C7,(B7-C7)/E7),"-")</f>
        <v>-</v>
      </c>
      <c r="G7" s="19" t="str">
        <f aca="false">IFERROR(C7/B7,"-")</f>
        <v>-</v>
      </c>
    </row>
    <row r="8" customFormat="false" ht="15" hidden="false" customHeight="false" outlineLevel="0" collapsed="false">
      <c r="A8" s="25"/>
      <c r="B8" s="18"/>
      <c r="C8" s="18"/>
      <c r="D8" s="26"/>
      <c r="E8" s="24" t="str">
        <f aca="true">IF(D8="","",MAX(DATEDIF(TODAY(),D8,"m"),0))</f>
        <v/>
      </c>
      <c r="F8" s="9" t="str">
        <f aca="false">IFERROR(IF(E8=0,B8-C8,(B8-C8)/E8),"-")</f>
        <v>-</v>
      </c>
      <c r="G8" s="19" t="str">
        <f aca="false">IFERROR(C8/B8,"-")</f>
        <v>-</v>
      </c>
    </row>
    <row r="9" customFormat="false" ht="15" hidden="false" customHeight="false" outlineLevel="0" collapsed="false">
      <c r="A9" s="25"/>
      <c r="B9" s="18"/>
      <c r="C9" s="18"/>
      <c r="D9" s="26"/>
      <c r="E9" s="24" t="str">
        <f aca="true">IF(D9="","",MAX(DATEDIF(TODAY(),D9,"m"),0))</f>
        <v/>
      </c>
      <c r="F9" s="9" t="str">
        <f aca="false">IFERROR(IF(E9=0,B9-C9,(B9-C9)/E9),"-")</f>
        <v>-</v>
      </c>
      <c r="G9" s="19" t="str">
        <f aca="false">IFERROR(C9/B9,"-")</f>
        <v>-</v>
      </c>
    </row>
    <row r="10" customFormat="false" ht="15" hidden="false" customHeight="false" outlineLevel="0" collapsed="false">
      <c r="A10" s="25"/>
      <c r="B10" s="18"/>
      <c r="C10" s="18"/>
      <c r="D10" s="26"/>
      <c r="E10" s="24" t="str">
        <f aca="true">IF(D10="","",MAX(DATEDIF(TODAY(),D10,"m"),0))</f>
        <v/>
      </c>
      <c r="F10" s="9" t="str">
        <f aca="false">IFERROR(IF(E10=0,B10-C10,(B10-C10)/E10),"-")</f>
        <v>-</v>
      </c>
      <c r="G10" s="19" t="str">
        <f aca="false">IFERROR(C10/B10,"-")</f>
        <v>-</v>
      </c>
    </row>
    <row r="11" customFormat="false" ht="15" hidden="false" customHeight="false" outlineLevel="0" collapsed="false">
      <c r="A11" s="25"/>
      <c r="B11" s="18"/>
      <c r="C11" s="18"/>
      <c r="D11" s="26"/>
      <c r="E11" s="24" t="str">
        <f aca="true">IF(D11="","",MAX(DATEDIF(TODAY(),D11,"m"),0))</f>
        <v/>
      </c>
      <c r="F11" s="9" t="str">
        <f aca="false">IFERROR(IF(E11=0,B11-C11,(B11-C11)/E11),"-")</f>
        <v>-</v>
      </c>
      <c r="G11" s="19" t="str">
        <f aca="false">IFERROR(C11/B11,"-")</f>
        <v>-</v>
      </c>
    </row>
    <row r="12" customFormat="false" ht="15" hidden="false" customHeight="false" outlineLevel="0" collapsed="false">
      <c r="A12" s="25"/>
      <c r="B12" s="18"/>
      <c r="C12" s="18"/>
      <c r="D12" s="26"/>
      <c r="E12" s="24" t="str">
        <f aca="true">IF(D12="","",MAX(DATEDIF(TODAY(),D12,"m"),0))</f>
        <v/>
      </c>
      <c r="F12" s="9" t="str">
        <f aca="false">IFERROR(IF(E12=0,B12-C12,(B12-C12)/E12),"-")</f>
        <v>-</v>
      </c>
      <c r="G12" s="19" t="str">
        <f aca="false">IFERROR(C12/B12,"-")</f>
        <v>-</v>
      </c>
    </row>
    <row r="13" customFormat="false" ht="15" hidden="false" customHeight="false" outlineLevel="0" collapsed="false">
      <c r="A13" s="25"/>
      <c r="B13" s="18"/>
      <c r="C13" s="18"/>
      <c r="D13" s="26"/>
      <c r="E13" s="24" t="str">
        <f aca="true">IF(D13="","",MAX(DATEDIF(TODAY(),D13,"m"),0))</f>
        <v/>
      </c>
      <c r="F13" s="9" t="str">
        <f aca="false">IFERROR(IF(E13=0,B13-C13,(B13-C13)/E13),"-")</f>
        <v>-</v>
      </c>
      <c r="G13" s="19" t="str">
        <f aca="false">IFERROR(C13/B13,"-")</f>
        <v>-</v>
      </c>
    </row>
    <row r="14" customFormat="false" ht="15" hidden="false" customHeight="false" outlineLevel="0" collapsed="false">
      <c r="A14" s="25"/>
      <c r="B14" s="18"/>
      <c r="C14" s="18"/>
      <c r="D14" s="26"/>
      <c r="E14" s="24" t="str">
        <f aca="true">IF(D14="","",MAX(DATEDIF(TODAY(),D14,"m"),0))</f>
        <v/>
      </c>
      <c r="F14" s="9" t="str">
        <f aca="false">IFERROR(IF(E14=0,B14-C14,(B14-C14)/E14),"-")</f>
        <v>-</v>
      </c>
      <c r="G14" s="19" t="str">
        <f aca="false">IFERROR(C14/B14,"-")</f>
        <v>-</v>
      </c>
    </row>
    <row r="15" customFormat="false" ht="15" hidden="false" customHeight="false" outlineLevel="0" collapsed="false">
      <c r="A15" s="25"/>
      <c r="B15" s="18"/>
      <c r="C15" s="18"/>
      <c r="D15" s="26"/>
      <c r="E15" s="24" t="str">
        <f aca="true">IF(D15="","",MAX(DATEDIF(TODAY(),D15,"m"),0))</f>
        <v/>
      </c>
      <c r="F15" s="9" t="str">
        <f aca="false">IFERROR(IF(E15=0,B15-C15,(B15-C15)/E15),"-")</f>
        <v>-</v>
      </c>
      <c r="G15" s="19" t="str">
        <f aca="false">IFERROR(C15/B15,"-")</f>
        <v>-</v>
      </c>
    </row>
    <row r="16" customFormat="false" ht="15" hidden="false" customHeight="false" outlineLevel="0" collapsed="false">
      <c r="A16" s="25"/>
      <c r="B16" s="18"/>
      <c r="C16" s="18"/>
      <c r="D16" s="26"/>
      <c r="E16" s="24" t="str">
        <f aca="true">IF(D16="","",MAX(DATEDIF(TODAY(),D16,"m"),0))</f>
        <v/>
      </c>
      <c r="F16" s="9" t="str">
        <f aca="false">IFERROR(IF(E16=0,B16-C16,(B16-C16)/E16),"-")</f>
        <v>-</v>
      </c>
      <c r="G16" s="19" t="str">
        <f aca="false">IFERROR(C16/B16,"-")</f>
        <v>-</v>
      </c>
    </row>
    <row r="17" customFormat="false" ht="15" hidden="false" customHeight="false" outlineLevel="0" collapsed="false">
      <c r="A17" s="25"/>
      <c r="B17" s="18"/>
      <c r="C17" s="18"/>
      <c r="D17" s="26"/>
      <c r="E17" s="24" t="str">
        <f aca="true">IF(D17="","",MAX(DATEDIF(TODAY(),D17,"m"),0))</f>
        <v/>
      </c>
      <c r="F17" s="9" t="str">
        <f aca="false">IFERROR(IF(E17=0,B17-C17,(B17-C17)/E17),"-")</f>
        <v>-</v>
      </c>
      <c r="G17" s="19" t="str">
        <f aca="false">IFERROR(C17/B17,"-")</f>
        <v>-</v>
      </c>
    </row>
    <row r="18" customFormat="false" ht="15" hidden="false" customHeight="false" outlineLevel="0" collapsed="false">
      <c r="A18" s="25"/>
      <c r="B18" s="18"/>
      <c r="C18" s="18"/>
      <c r="D18" s="26"/>
      <c r="E18" s="24" t="str">
        <f aca="true">IF(D18="","",MAX(DATEDIF(TODAY(),D18,"m"),0))</f>
        <v/>
      </c>
      <c r="F18" s="9" t="str">
        <f aca="false">IFERROR(IF(E18=0,B18-C18,(B18-C18)/E18),"-")</f>
        <v>-</v>
      </c>
      <c r="G18" s="19" t="str">
        <f aca="false">IFERROR(C18/B18,"-")</f>
        <v>-</v>
      </c>
    </row>
    <row r="19" customFormat="false" ht="15" hidden="false" customHeight="false" outlineLevel="0" collapsed="false">
      <c r="A19" s="25"/>
      <c r="B19" s="18"/>
      <c r="C19" s="18"/>
      <c r="D19" s="26"/>
      <c r="E19" s="24" t="str">
        <f aca="true">IF(D19="","",MAX(DATEDIF(TODAY(),D19,"m"),0))</f>
        <v/>
      </c>
      <c r="F19" s="9" t="str">
        <f aca="false">IFERROR(IF(E19=0,B19-C19,(B19-C19)/E19),"-")</f>
        <v>-</v>
      </c>
      <c r="G19" s="19" t="str">
        <f aca="false">IFERROR(C19/B19,"-")</f>
        <v>-</v>
      </c>
    </row>
    <row r="20" customFormat="false" ht="15" hidden="false" customHeight="false" outlineLevel="0" collapsed="false">
      <c r="A20" s="25"/>
      <c r="B20" s="18"/>
      <c r="C20" s="18"/>
      <c r="D20" s="26"/>
      <c r="E20" s="24" t="str">
        <f aca="true">IF(D20="","",MAX(DATEDIF(TODAY(),D20,"m"),0))</f>
        <v/>
      </c>
      <c r="F20" s="9" t="str">
        <f aca="false">IFERROR(IF(E20=0,B20-C20,(B20-C20)/E20),"-")</f>
        <v>-</v>
      </c>
      <c r="G20" s="19" t="str">
        <f aca="false">IFERROR(C20/B20,"-")</f>
        <v>-</v>
      </c>
    </row>
    <row r="21" customFormat="false" ht="15" hidden="false" customHeight="false" outlineLevel="0" collapsed="false">
      <c r="A21" s="25"/>
      <c r="B21" s="18"/>
      <c r="C21" s="18"/>
      <c r="D21" s="26"/>
      <c r="E21" s="24" t="str">
        <f aca="true">IF(D21="","",MAX(DATEDIF(TODAY(),D21,"m"),0))</f>
        <v/>
      </c>
      <c r="F21" s="9" t="str">
        <f aca="false">IFERROR(IF(E21=0,B21-C21,(B21-C21)/E21),"-")</f>
        <v>-</v>
      </c>
      <c r="G21" s="19" t="str">
        <f aca="false">IFERROR(C21/B21,"-")</f>
        <v>-</v>
      </c>
    </row>
    <row r="22" customFormat="false" ht="15" hidden="false" customHeight="false" outlineLevel="0" collapsed="false">
      <c r="A22" s="25"/>
      <c r="B22" s="18"/>
      <c r="C22" s="18"/>
      <c r="D22" s="26"/>
      <c r="E22" s="24" t="str">
        <f aca="true">IF(D22="","",MAX(DATEDIF(TODAY(),D22,"m"),0))</f>
        <v/>
      </c>
      <c r="F22" s="9" t="str">
        <f aca="false">IFERROR(IF(E22=0,B22-C22,(B22-C22)/E22),"-")</f>
        <v>-</v>
      </c>
      <c r="G22" s="19" t="str">
        <f aca="false">IFERROR(C22/B22,"-")</f>
        <v>-</v>
      </c>
    </row>
    <row r="23" customFormat="false" ht="15" hidden="false" customHeight="false" outlineLevel="0" collapsed="false">
      <c r="A23" s="25"/>
      <c r="B23" s="18"/>
      <c r="C23" s="18"/>
      <c r="D23" s="26"/>
      <c r="E23" s="24" t="str">
        <f aca="true">IF(D23="","",MAX(DATEDIF(TODAY(),D23,"m"),0))</f>
        <v/>
      </c>
      <c r="F23" s="9" t="str">
        <f aca="false">IFERROR(IF(E23=0,B23-C23,(B23-C23)/E23),"-")</f>
        <v>-</v>
      </c>
      <c r="G23" s="19" t="str">
        <f aca="false">IFERROR(C23/B23,"-")</f>
        <v>-</v>
      </c>
    </row>
    <row r="24" customFormat="false" ht="15" hidden="false" customHeight="false" outlineLevel="0" collapsed="false">
      <c r="A24" s="25"/>
      <c r="B24" s="18"/>
      <c r="C24" s="18"/>
      <c r="D24" s="26"/>
      <c r="E24" s="24" t="str">
        <f aca="true">IF(D24="","",MAX(DATEDIF(TODAY(),D24,"m"),0))</f>
        <v/>
      </c>
      <c r="F24" s="9" t="str">
        <f aca="false">IFERROR(IF(E24=0,B24-C24,(B24-C24)/E24),"-")</f>
        <v>-</v>
      </c>
      <c r="G24" s="19" t="str">
        <f aca="false">IFERROR(C24/B24,"-")</f>
        <v>-</v>
      </c>
    </row>
  </sheetData>
  <mergeCells count="2">
    <mergeCell ref="A1:G1"/>
    <mergeCell ref="A2:G2"/>
  </mergeCells>
  <conditionalFormatting sqref="G5:G24">
    <cfRule type="expression" priority="2" aboveAverage="0" equalAverage="0" bottom="0" percent="0" rank="0" text="" dxfId="1">
      <formula>AND(ISNUMBER(G5),G5&gt;=1)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2"/>
  </cols>
  <sheetData>
    <row r="1" customFormat="false" ht="27.75" hidden="false" customHeight="true" outlineLevel="0" collapsed="false">
      <c r="A1" s="1" t="s">
        <v>91</v>
      </c>
      <c r="B1" s="1"/>
      <c r="C1" s="1"/>
      <c r="D1" s="1"/>
      <c r="E1" s="1"/>
      <c r="F1" s="1"/>
      <c r="G1" s="1"/>
      <c r="H1" s="1"/>
      <c r="I1" s="1"/>
    </row>
    <row r="2" customFormat="false" ht="25.5" hidden="false" customHeight="true" outlineLevel="0" collapsed="false">
      <c r="A2" s="12" t="s">
        <v>92</v>
      </c>
      <c r="B2" s="12"/>
      <c r="C2" s="12"/>
      <c r="D2" s="12"/>
      <c r="E2" s="12"/>
      <c r="F2" s="12"/>
      <c r="G2" s="12"/>
      <c r="H2" s="12"/>
      <c r="I2" s="12"/>
    </row>
    <row r="4" customFormat="false" ht="25.5" hidden="false" customHeight="true" outlineLevel="0" collapsed="false">
      <c r="A4" s="13" t="s">
        <v>93</v>
      </c>
      <c r="B4" s="13" t="s">
        <v>94</v>
      </c>
      <c r="C4" s="13" t="s">
        <v>9</v>
      </c>
      <c r="D4" s="13" t="s">
        <v>95</v>
      </c>
      <c r="E4" s="13" t="s">
        <v>96</v>
      </c>
      <c r="F4" s="13" t="s">
        <v>97</v>
      </c>
      <c r="G4" s="13" t="s">
        <v>98</v>
      </c>
      <c r="H4" s="13" t="s">
        <v>99</v>
      </c>
      <c r="I4" s="13" t="s">
        <v>41</v>
      </c>
    </row>
    <row r="5" customFormat="false" ht="15" hidden="false" customHeight="false" outlineLevel="0" collapsed="false">
      <c r="A5" s="8" t="s">
        <v>100</v>
      </c>
      <c r="B5" s="8" t="s">
        <v>101</v>
      </c>
      <c r="C5" s="8" t="s">
        <v>34</v>
      </c>
      <c r="D5" s="14" t="n">
        <v>46034</v>
      </c>
      <c r="E5" s="9" t="n">
        <v>1200</v>
      </c>
      <c r="F5" s="8" t="n">
        <v>6</v>
      </c>
      <c r="G5" s="9" t="n">
        <f aca="false">IFERROR(E5/F5,"-")</f>
        <v>200</v>
      </c>
      <c r="H5" s="24" t="str">
        <f aca="false">IF(D5="","",INDEX(Lista_Meses,MONTH(D5)))</f>
        <v>Janeiro</v>
      </c>
      <c r="I5" s="8" t="s">
        <v>102</v>
      </c>
    </row>
    <row r="6" customFormat="false" ht="15" hidden="false" customHeight="false" outlineLevel="0" collapsed="false">
      <c r="A6" s="16"/>
      <c r="B6" s="16"/>
      <c r="C6" s="16"/>
      <c r="D6" s="15"/>
      <c r="E6" s="17"/>
      <c r="F6" s="16"/>
      <c r="G6" s="9" t="str">
        <f aca="false">IFERROR(E6/F6,"-")</f>
        <v>-</v>
      </c>
      <c r="H6" s="24" t="str">
        <f aca="false">IF(D6="","",INDEX(Lista_Meses,MONTH(D6)))</f>
        <v/>
      </c>
      <c r="I6" s="16"/>
    </row>
    <row r="7" customFormat="false" ht="15" hidden="false" customHeight="false" outlineLevel="0" collapsed="false">
      <c r="A7" s="16"/>
      <c r="B7" s="16"/>
      <c r="C7" s="16"/>
      <c r="D7" s="15"/>
      <c r="E7" s="17"/>
      <c r="F7" s="16"/>
      <c r="G7" s="9" t="str">
        <f aca="false">IFERROR(E7/F7,"-")</f>
        <v>-</v>
      </c>
      <c r="H7" s="24" t="str">
        <f aca="false">IF(D7="","",INDEX(Lista_Meses,MONTH(D7)))</f>
        <v/>
      </c>
      <c r="I7" s="16"/>
    </row>
    <row r="8" customFormat="false" ht="15" hidden="false" customHeight="false" outlineLevel="0" collapsed="false">
      <c r="A8" s="16"/>
      <c r="B8" s="16"/>
      <c r="C8" s="16"/>
      <c r="D8" s="15"/>
      <c r="E8" s="17"/>
      <c r="F8" s="16"/>
      <c r="G8" s="9" t="str">
        <f aca="false">IFERROR(E8/F8,"-")</f>
        <v>-</v>
      </c>
      <c r="H8" s="24" t="str">
        <f aca="false">IF(D8="","",INDEX(Lista_Meses,MONTH(D8)))</f>
        <v/>
      </c>
      <c r="I8" s="16"/>
    </row>
    <row r="9" customFormat="false" ht="15" hidden="false" customHeight="false" outlineLevel="0" collapsed="false">
      <c r="A9" s="16"/>
      <c r="B9" s="16"/>
      <c r="C9" s="16"/>
      <c r="D9" s="15"/>
      <c r="E9" s="17"/>
      <c r="F9" s="16"/>
      <c r="G9" s="9" t="str">
        <f aca="false">IFERROR(E9/F9,"-")</f>
        <v>-</v>
      </c>
      <c r="H9" s="24" t="str">
        <f aca="false">IF(D9="","",INDEX(Lista_Meses,MONTH(D9)))</f>
        <v/>
      </c>
      <c r="I9" s="16"/>
    </row>
    <row r="10" customFormat="false" ht="15" hidden="false" customHeight="false" outlineLevel="0" collapsed="false">
      <c r="A10" s="16"/>
      <c r="B10" s="16"/>
      <c r="C10" s="16"/>
      <c r="D10" s="15"/>
      <c r="E10" s="17"/>
      <c r="F10" s="16"/>
      <c r="G10" s="9" t="str">
        <f aca="false">IFERROR(E10/F10,"-")</f>
        <v>-</v>
      </c>
      <c r="H10" s="24" t="str">
        <f aca="false">IF(D10="","",INDEX(Lista_Meses,MONTH(D10)))</f>
        <v/>
      </c>
      <c r="I10" s="16"/>
    </row>
    <row r="11" customFormat="false" ht="15" hidden="false" customHeight="false" outlineLevel="0" collapsed="false">
      <c r="A11" s="16"/>
      <c r="B11" s="16"/>
      <c r="C11" s="16"/>
      <c r="D11" s="15"/>
      <c r="E11" s="17"/>
      <c r="F11" s="16"/>
      <c r="G11" s="9" t="str">
        <f aca="false">IFERROR(E11/F11,"-")</f>
        <v>-</v>
      </c>
      <c r="H11" s="24" t="str">
        <f aca="false">IF(D11="","",INDEX(Lista_Meses,MONTH(D11)))</f>
        <v/>
      </c>
      <c r="I11" s="16"/>
    </row>
    <row r="12" customFormat="false" ht="15" hidden="false" customHeight="false" outlineLevel="0" collapsed="false">
      <c r="A12" s="16"/>
      <c r="B12" s="16"/>
      <c r="C12" s="16"/>
      <c r="D12" s="15"/>
      <c r="E12" s="17"/>
      <c r="F12" s="16"/>
      <c r="G12" s="9" t="str">
        <f aca="false">IFERROR(E12/F12,"-")</f>
        <v>-</v>
      </c>
      <c r="H12" s="24" t="str">
        <f aca="false">IF(D12="","",INDEX(Lista_Meses,MONTH(D12)))</f>
        <v/>
      </c>
      <c r="I12" s="16"/>
    </row>
    <row r="13" customFormat="false" ht="15" hidden="false" customHeight="false" outlineLevel="0" collapsed="false">
      <c r="A13" s="16"/>
      <c r="B13" s="16"/>
      <c r="C13" s="16"/>
      <c r="D13" s="15"/>
      <c r="E13" s="17"/>
      <c r="F13" s="16"/>
      <c r="G13" s="9" t="str">
        <f aca="false">IFERROR(E13/F13,"-")</f>
        <v>-</v>
      </c>
      <c r="H13" s="24" t="str">
        <f aca="false">IF(D13="","",INDEX(Lista_Meses,MONTH(D13)))</f>
        <v/>
      </c>
      <c r="I13" s="16"/>
    </row>
    <row r="14" customFormat="false" ht="15" hidden="false" customHeight="false" outlineLevel="0" collapsed="false">
      <c r="A14" s="16"/>
      <c r="B14" s="16"/>
      <c r="C14" s="16"/>
      <c r="D14" s="15"/>
      <c r="E14" s="17"/>
      <c r="F14" s="16"/>
      <c r="G14" s="9" t="str">
        <f aca="false">IFERROR(E14/F14,"-")</f>
        <v>-</v>
      </c>
      <c r="H14" s="24" t="str">
        <f aca="false">IF(D14="","",INDEX(Lista_Meses,MONTH(D14)))</f>
        <v/>
      </c>
      <c r="I14" s="16"/>
    </row>
    <row r="15" customFormat="false" ht="15" hidden="false" customHeight="false" outlineLevel="0" collapsed="false">
      <c r="A15" s="16"/>
      <c r="B15" s="16"/>
      <c r="C15" s="16"/>
      <c r="D15" s="15"/>
      <c r="E15" s="17"/>
      <c r="F15" s="16"/>
      <c r="G15" s="9" t="str">
        <f aca="false">IFERROR(E15/F15,"-")</f>
        <v>-</v>
      </c>
      <c r="H15" s="24" t="str">
        <f aca="false">IF(D15="","",INDEX(Lista_Meses,MONTH(D15)))</f>
        <v/>
      </c>
      <c r="I15" s="16"/>
    </row>
    <row r="16" customFormat="false" ht="15" hidden="false" customHeight="false" outlineLevel="0" collapsed="false">
      <c r="A16" s="16"/>
      <c r="B16" s="16"/>
      <c r="C16" s="16"/>
      <c r="D16" s="15"/>
      <c r="E16" s="17"/>
      <c r="F16" s="16"/>
      <c r="G16" s="9" t="str">
        <f aca="false">IFERROR(E16/F16,"-")</f>
        <v>-</v>
      </c>
      <c r="H16" s="24" t="str">
        <f aca="false">IF(D16="","",INDEX(Lista_Meses,MONTH(D16)))</f>
        <v/>
      </c>
      <c r="I16" s="16"/>
    </row>
    <row r="17" customFormat="false" ht="15" hidden="false" customHeight="false" outlineLevel="0" collapsed="false">
      <c r="A17" s="16"/>
      <c r="B17" s="16"/>
      <c r="C17" s="16"/>
      <c r="D17" s="15"/>
      <c r="E17" s="17"/>
      <c r="F17" s="16"/>
      <c r="G17" s="9" t="str">
        <f aca="false">IFERROR(E17/F17,"-")</f>
        <v>-</v>
      </c>
      <c r="H17" s="24" t="str">
        <f aca="false">IF(D17="","",INDEX(Lista_Meses,MONTH(D17)))</f>
        <v/>
      </c>
      <c r="I17" s="16"/>
    </row>
    <row r="18" customFormat="false" ht="15" hidden="false" customHeight="false" outlineLevel="0" collapsed="false">
      <c r="A18" s="16"/>
      <c r="B18" s="16"/>
      <c r="C18" s="16"/>
      <c r="D18" s="15"/>
      <c r="E18" s="17"/>
      <c r="F18" s="16"/>
      <c r="G18" s="9" t="str">
        <f aca="false">IFERROR(E18/F18,"-")</f>
        <v>-</v>
      </c>
      <c r="H18" s="24" t="str">
        <f aca="false">IF(D18="","",INDEX(Lista_Meses,MONTH(D18)))</f>
        <v/>
      </c>
      <c r="I18" s="16"/>
    </row>
    <row r="19" customFormat="false" ht="15" hidden="false" customHeight="false" outlineLevel="0" collapsed="false">
      <c r="A19" s="16"/>
      <c r="B19" s="16"/>
      <c r="C19" s="16"/>
      <c r="D19" s="15"/>
      <c r="E19" s="17"/>
      <c r="F19" s="16"/>
      <c r="G19" s="9" t="str">
        <f aca="false">IFERROR(E19/F19,"-")</f>
        <v>-</v>
      </c>
      <c r="H19" s="24" t="str">
        <f aca="false">IF(D19="","",INDEX(Lista_Meses,MONTH(D19)))</f>
        <v/>
      </c>
      <c r="I19" s="16"/>
    </row>
    <row r="20" customFormat="false" ht="15" hidden="false" customHeight="false" outlineLevel="0" collapsed="false">
      <c r="A20" s="16"/>
      <c r="B20" s="16"/>
      <c r="C20" s="16"/>
      <c r="D20" s="15"/>
      <c r="E20" s="17"/>
      <c r="F20" s="16"/>
      <c r="G20" s="9" t="str">
        <f aca="false">IFERROR(E20/F20,"-")</f>
        <v>-</v>
      </c>
      <c r="H20" s="24" t="str">
        <f aca="false">IF(D20="","",INDEX(Lista_Meses,MONTH(D20)))</f>
        <v/>
      </c>
      <c r="I20" s="16"/>
    </row>
    <row r="21" customFormat="false" ht="15" hidden="false" customHeight="false" outlineLevel="0" collapsed="false">
      <c r="A21" s="16"/>
      <c r="B21" s="16"/>
      <c r="C21" s="16"/>
      <c r="D21" s="15"/>
      <c r="E21" s="17"/>
      <c r="F21" s="16"/>
      <c r="G21" s="9" t="str">
        <f aca="false">IFERROR(E21/F21,"-")</f>
        <v>-</v>
      </c>
      <c r="H21" s="24" t="str">
        <f aca="false">IF(D21="","",INDEX(Lista_Meses,MONTH(D21)))</f>
        <v/>
      </c>
      <c r="I21" s="16"/>
    </row>
    <row r="22" customFormat="false" ht="15" hidden="false" customHeight="false" outlineLevel="0" collapsed="false">
      <c r="A22" s="16"/>
      <c r="B22" s="16"/>
      <c r="C22" s="16"/>
      <c r="D22" s="15"/>
      <c r="E22" s="17"/>
      <c r="F22" s="16"/>
      <c r="G22" s="9" t="str">
        <f aca="false">IFERROR(E22/F22,"-")</f>
        <v>-</v>
      </c>
      <c r="H22" s="24" t="str">
        <f aca="false">IF(D22="","",INDEX(Lista_Meses,MONTH(D22)))</f>
        <v/>
      </c>
      <c r="I22" s="16"/>
    </row>
    <row r="23" customFormat="false" ht="15" hidden="false" customHeight="false" outlineLevel="0" collapsed="false">
      <c r="A23" s="16"/>
      <c r="B23" s="16"/>
      <c r="C23" s="16"/>
      <c r="D23" s="15"/>
      <c r="E23" s="17"/>
      <c r="F23" s="16"/>
      <c r="G23" s="9" t="str">
        <f aca="false">IFERROR(E23/F23,"-")</f>
        <v>-</v>
      </c>
      <c r="H23" s="24" t="str">
        <f aca="false">IF(D23="","",INDEX(Lista_Meses,MONTH(D23)))</f>
        <v/>
      </c>
      <c r="I23" s="16"/>
    </row>
    <row r="24" customFormat="false" ht="15" hidden="false" customHeight="false" outlineLevel="0" collapsed="false">
      <c r="A24" s="16"/>
      <c r="B24" s="16"/>
      <c r="C24" s="16"/>
      <c r="D24" s="15"/>
      <c r="E24" s="17"/>
      <c r="F24" s="16"/>
      <c r="G24" s="9" t="str">
        <f aca="false">IFERROR(E24/F24,"-")</f>
        <v>-</v>
      </c>
      <c r="H24" s="24" t="str">
        <f aca="false">IF(D24="","",INDEX(Lista_Meses,MONTH(D24)))</f>
        <v/>
      </c>
      <c r="I24" s="16"/>
    </row>
    <row r="25" customFormat="false" ht="15" hidden="false" customHeight="false" outlineLevel="0" collapsed="false">
      <c r="A25" s="16"/>
      <c r="B25" s="16"/>
      <c r="C25" s="16"/>
      <c r="D25" s="15"/>
      <c r="E25" s="17"/>
      <c r="F25" s="16"/>
      <c r="G25" s="9" t="str">
        <f aca="false">IFERROR(E25/F25,"-")</f>
        <v>-</v>
      </c>
      <c r="H25" s="24" t="str">
        <f aca="false">IF(D25="","",INDEX(Lista_Meses,MONTH(D25)))</f>
        <v/>
      </c>
      <c r="I25" s="16"/>
    </row>
    <row r="26" customFormat="false" ht="15" hidden="false" customHeight="false" outlineLevel="0" collapsed="false">
      <c r="A26" s="16"/>
      <c r="B26" s="16"/>
      <c r="C26" s="16"/>
      <c r="D26" s="15"/>
      <c r="E26" s="17"/>
      <c r="F26" s="16"/>
      <c r="G26" s="9" t="str">
        <f aca="false">IFERROR(E26/F26,"-")</f>
        <v>-</v>
      </c>
      <c r="H26" s="24" t="str">
        <f aca="false">IF(D26="","",INDEX(Lista_Meses,MONTH(D26)))</f>
        <v/>
      </c>
      <c r="I26" s="16"/>
    </row>
    <row r="27" customFormat="false" ht="15" hidden="false" customHeight="false" outlineLevel="0" collapsed="false">
      <c r="A27" s="16"/>
      <c r="B27" s="16"/>
      <c r="C27" s="16"/>
      <c r="D27" s="15"/>
      <c r="E27" s="17"/>
      <c r="F27" s="16"/>
      <c r="G27" s="9" t="str">
        <f aca="false">IFERROR(E27/F27,"-")</f>
        <v>-</v>
      </c>
      <c r="H27" s="24" t="str">
        <f aca="false">IF(D27="","",INDEX(Lista_Meses,MONTH(D27)))</f>
        <v/>
      </c>
      <c r="I27" s="16"/>
    </row>
    <row r="28" customFormat="false" ht="15" hidden="false" customHeight="false" outlineLevel="0" collapsed="false">
      <c r="A28" s="16"/>
      <c r="B28" s="16"/>
      <c r="C28" s="16"/>
      <c r="D28" s="15"/>
      <c r="E28" s="17"/>
      <c r="F28" s="16"/>
      <c r="G28" s="9" t="str">
        <f aca="false">IFERROR(E28/F28,"-")</f>
        <v>-</v>
      </c>
      <c r="H28" s="24" t="str">
        <f aca="false">IF(D28="","",INDEX(Lista_Meses,MONTH(D28)))</f>
        <v/>
      </c>
      <c r="I28" s="16"/>
    </row>
    <row r="29" customFormat="false" ht="15" hidden="false" customHeight="false" outlineLevel="0" collapsed="false">
      <c r="A29" s="16"/>
      <c r="B29" s="16"/>
      <c r="C29" s="16"/>
      <c r="D29" s="15"/>
      <c r="E29" s="17"/>
      <c r="F29" s="16"/>
      <c r="G29" s="9" t="str">
        <f aca="false">IFERROR(E29/F29,"-")</f>
        <v>-</v>
      </c>
      <c r="H29" s="24" t="str">
        <f aca="false">IF(D29="","",INDEX(Lista_Meses,MONTH(D29)))</f>
        <v/>
      </c>
      <c r="I29" s="16"/>
    </row>
    <row r="30" customFormat="false" ht="15" hidden="false" customHeight="false" outlineLevel="0" collapsed="false">
      <c r="A30" s="16"/>
      <c r="B30" s="16"/>
      <c r="C30" s="16"/>
      <c r="D30" s="15"/>
      <c r="E30" s="17"/>
      <c r="F30" s="16"/>
      <c r="G30" s="9" t="str">
        <f aca="false">IFERROR(E30/F30,"-")</f>
        <v>-</v>
      </c>
      <c r="H30" s="24" t="str">
        <f aca="false">IF(D30="","",INDEX(Lista_Meses,MONTH(D30)))</f>
        <v/>
      </c>
      <c r="I30" s="16"/>
    </row>
    <row r="31" customFormat="false" ht="15" hidden="false" customHeight="false" outlineLevel="0" collapsed="false">
      <c r="A31" s="16"/>
      <c r="B31" s="16"/>
      <c r="C31" s="16"/>
      <c r="D31" s="15"/>
      <c r="E31" s="17"/>
      <c r="F31" s="16"/>
      <c r="G31" s="9" t="str">
        <f aca="false">IFERROR(E31/F31,"-")</f>
        <v>-</v>
      </c>
      <c r="H31" s="24" t="str">
        <f aca="false">IF(D31="","",INDEX(Lista_Meses,MONTH(D31)))</f>
        <v/>
      </c>
      <c r="I31" s="16"/>
    </row>
    <row r="32" customFormat="false" ht="15" hidden="false" customHeight="false" outlineLevel="0" collapsed="false">
      <c r="A32" s="16"/>
      <c r="B32" s="16"/>
      <c r="C32" s="16"/>
      <c r="D32" s="15"/>
      <c r="E32" s="17"/>
      <c r="F32" s="16"/>
      <c r="G32" s="9" t="str">
        <f aca="false">IFERROR(E32/F32,"-")</f>
        <v>-</v>
      </c>
      <c r="H32" s="24" t="str">
        <f aca="false">IF(D32="","",INDEX(Lista_Meses,MONTH(D32)))</f>
        <v/>
      </c>
      <c r="I32" s="16"/>
    </row>
    <row r="33" customFormat="false" ht="15" hidden="false" customHeight="false" outlineLevel="0" collapsed="false">
      <c r="A33" s="16"/>
      <c r="B33" s="16"/>
      <c r="C33" s="16"/>
      <c r="D33" s="15"/>
      <c r="E33" s="17"/>
      <c r="F33" s="16"/>
      <c r="G33" s="9" t="str">
        <f aca="false">IFERROR(E33/F33,"-")</f>
        <v>-</v>
      </c>
      <c r="H33" s="24" t="str">
        <f aca="false">IF(D33="","",INDEX(Lista_Meses,MONTH(D33)))</f>
        <v/>
      </c>
      <c r="I33" s="16"/>
    </row>
    <row r="34" customFormat="false" ht="15" hidden="false" customHeight="false" outlineLevel="0" collapsed="false">
      <c r="A34" s="16"/>
      <c r="B34" s="16"/>
      <c r="C34" s="16"/>
      <c r="D34" s="15"/>
      <c r="E34" s="17"/>
      <c r="F34" s="16"/>
      <c r="G34" s="9" t="str">
        <f aca="false">IFERROR(E34/F34,"-")</f>
        <v>-</v>
      </c>
      <c r="H34" s="24" t="str">
        <f aca="false">IF(D34="","",INDEX(Lista_Meses,MONTH(D34)))</f>
        <v/>
      </c>
      <c r="I34" s="16"/>
    </row>
    <row r="35" customFormat="false" ht="15" hidden="false" customHeight="false" outlineLevel="0" collapsed="false">
      <c r="A35" s="16"/>
      <c r="B35" s="16"/>
      <c r="C35" s="16"/>
      <c r="D35" s="15"/>
      <c r="E35" s="17"/>
      <c r="F35" s="16"/>
      <c r="G35" s="9" t="str">
        <f aca="false">IFERROR(E35/F35,"-")</f>
        <v>-</v>
      </c>
      <c r="H35" s="24" t="str">
        <f aca="false">IF(D35="","",INDEX(Lista_Meses,MONTH(D35)))</f>
        <v/>
      </c>
      <c r="I35" s="16"/>
    </row>
    <row r="36" customFormat="false" ht="15" hidden="false" customHeight="false" outlineLevel="0" collapsed="false">
      <c r="A36" s="16"/>
      <c r="B36" s="16"/>
      <c r="C36" s="16"/>
      <c r="D36" s="15"/>
      <c r="E36" s="17"/>
      <c r="F36" s="16"/>
      <c r="G36" s="9" t="str">
        <f aca="false">IFERROR(E36/F36,"-")</f>
        <v>-</v>
      </c>
      <c r="H36" s="24" t="str">
        <f aca="false">IF(D36="","",INDEX(Lista_Meses,MONTH(D36)))</f>
        <v/>
      </c>
      <c r="I36" s="16"/>
    </row>
    <row r="37" customFormat="false" ht="15" hidden="false" customHeight="false" outlineLevel="0" collapsed="false">
      <c r="A37" s="16"/>
      <c r="B37" s="16"/>
      <c r="C37" s="16"/>
      <c r="D37" s="15"/>
      <c r="E37" s="17"/>
      <c r="F37" s="16"/>
      <c r="G37" s="9" t="str">
        <f aca="false">IFERROR(E37/F37,"-")</f>
        <v>-</v>
      </c>
      <c r="H37" s="24" t="str">
        <f aca="false">IF(D37="","",INDEX(Lista_Meses,MONTH(D37)))</f>
        <v/>
      </c>
      <c r="I37" s="16"/>
    </row>
    <row r="38" customFormat="false" ht="15" hidden="false" customHeight="false" outlineLevel="0" collapsed="false">
      <c r="A38" s="16"/>
      <c r="B38" s="16"/>
      <c r="C38" s="16"/>
      <c r="D38" s="15"/>
      <c r="E38" s="17"/>
      <c r="F38" s="16"/>
      <c r="G38" s="9" t="str">
        <f aca="false">IFERROR(E38/F38,"-")</f>
        <v>-</v>
      </c>
      <c r="H38" s="24" t="str">
        <f aca="false">IF(D38="","",INDEX(Lista_Meses,MONTH(D38)))</f>
        <v/>
      </c>
      <c r="I38" s="16"/>
    </row>
    <row r="39" customFormat="false" ht="15" hidden="false" customHeight="false" outlineLevel="0" collapsed="false">
      <c r="A39" s="16"/>
      <c r="B39" s="16"/>
      <c r="C39" s="16"/>
      <c r="D39" s="15"/>
      <c r="E39" s="17"/>
      <c r="F39" s="16"/>
      <c r="G39" s="9" t="str">
        <f aca="false">IFERROR(E39/F39,"-")</f>
        <v>-</v>
      </c>
      <c r="H39" s="24" t="str">
        <f aca="false">IF(D39="","",INDEX(Lista_Meses,MONTH(D39)))</f>
        <v/>
      </c>
      <c r="I39" s="16"/>
    </row>
    <row r="40" customFormat="false" ht="15" hidden="false" customHeight="false" outlineLevel="0" collapsed="false">
      <c r="A40" s="16"/>
      <c r="B40" s="16"/>
      <c r="C40" s="16"/>
      <c r="D40" s="15"/>
      <c r="E40" s="17"/>
      <c r="F40" s="16"/>
      <c r="G40" s="9" t="str">
        <f aca="false">IFERROR(E40/F40,"-")</f>
        <v>-</v>
      </c>
      <c r="H40" s="24" t="str">
        <f aca="false">IF(D40="","",INDEX(Lista_Meses,MONTH(D40)))</f>
        <v/>
      </c>
      <c r="I40" s="16"/>
    </row>
    <row r="41" customFormat="false" ht="15" hidden="false" customHeight="false" outlineLevel="0" collapsed="false">
      <c r="A41" s="16"/>
      <c r="B41" s="16"/>
      <c r="C41" s="16"/>
      <c r="D41" s="15"/>
      <c r="E41" s="17"/>
      <c r="F41" s="16"/>
      <c r="G41" s="9" t="str">
        <f aca="false">IFERROR(E41/F41,"-")</f>
        <v>-</v>
      </c>
      <c r="H41" s="24" t="str">
        <f aca="false">IF(D41="","",INDEX(Lista_Meses,MONTH(D41)))</f>
        <v/>
      </c>
      <c r="I41" s="16"/>
    </row>
    <row r="42" customFormat="false" ht="15" hidden="false" customHeight="false" outlineLevel="0" collapsed="false">
      <c r="A42" s="16"/>
      <c r="B42" s="16"/>
      <c r="C42" s="16"/>
      <c r="D42" s="15"/>
      <c r="E42" s="17"/>
      <c r="F42" s="16"/>
      <c r="G42" s="9" t="str">
        <f aca="false">IFERROR(E42/F42,"-")</f>
        <v>-</v>
      </c>
      <c r="H42" s="24" t="str">
        <f aca="false">IF(D42="","",INDEX(Lista_Meses,MONTH(D42)))</f>
        <v/>
      </c>
      <c r="I42" s="16"/>
    </row>
    <row r="43" customFormat="false" ht="15" hidden="false" customHeight="false" outlineLevel="0" collapsed="false">
      <c r="A43" s="16"/>
      <c r="B43" s="16"/>
      <c r="C43" s="16"/>
      <c r="D43" s="15"/>
      <c r="E43" s="17"/>
      <c r="F43" s="16"/>
      <c r="G43" s="9" t="str">
        <f aca="false">IFERROR(E43/F43,"-")</f>
        <v>-</v>
      </c>
      <c r="H43" s="24" t="str">
        <f aca="false">IF(D43="","",INDEX(Lista_Meses,MONTH(D43)))</f>
        <v/>
      </c>
      <c r="I43" s="16"/>
    </row>
    <row r="44" customFormat="false" ht="15" hidden="false" customHeight="false" outlineLevel="0" collapsed="false">
      <c r="A44" s="16"/>
      <c r="B44" s="16"/>
      <c r="C44" s="16"/>
      <c r="D44" s="15"/>
      <c r="E44" s="17"/>
      <c r="F44" s="16"/>
      <c r="G44" s="9" t="str">
        <f aca="false">IFERROR(E44/F44,"-")</f>
        <v>-</v>
      </c>
      <c r="H44" s="24" t="str">
        <f aca="false">IF(D44="","",INDEX(Lista_Meses,MONTH(D44)))</f>
        <v/>
      </c>
      <c r="I44" s="16"/>
    </row>
    <row r="45" customFormat="false" ht="15" hidden="false" customHeight="false" outlineLevel="0" collapsed="false">
      <c r="A45" s="16"/>
      <c r="B45" s="16"/>
      <c r="C45" s="16"/>
      <c r="D45" s="15"/>
      <c r="E45" s="17"/>
      <c r="F45" s="16"/>
      <c r="G45" s="9" t="str">
        <f aca="false">IFERROR(E45/F45,"-")</f>
        <v>-</v>
      </c>
      <c r="H45" s="24" t="str">
        <f aca="false">IF(D45="","",INDEX(Lista_Meses,MONTH(D45)))</f>
        <v/>
      </c>
      <c r="I45" s="16"/>
    </row>
    <row r="46" customFormat="false" ht="15" hidden="false" customHeight="false" outlineLevel="0" collapsed="false">
      <c r="A46" s="16"/>
      <c r="B46" s="16"/>
      <c r="C46" s="16"/>
      <c r="D46" s="15"/>
      <c r="E46" s="17"/>
      <c r="F46" s="16"/>
      <c r="G46" s="9" t="str">
        <f aca="false">IFERROR(E46/F46,"-")</f>
        <v>-</v>
      </c>
      <c r="H46" s="24" t="str">
        <f aca="false">IF(D46="","",INDEX(Lista_Meses,MONTH(D46)))</f>
        <v/>
      </c>
      <c r="I46" s="16"/>
    </row>
    <row r="47" customFormat="false" ht="15" hidden="false" customHeight="false" outlineLevel="0" collapsed="false">
      <c r="A47" s="16"/>
      <c r="B47" s="16"/>
      <c r="C47" s="16"/>
      <c r="D47" s="15"/>
      <c r="E47" s="17"/>
      <c r="F47" s="16"/>
      <c r="G47" s="9" t="str">
        <f aca="false">IFERROR(E47/F47,"-")</f>
        <v>-</v>
      </c>
      <c r="H47" s="24" t="str">
        <f aca="false">IF(D47="","",INDEX(Lista_Meses,MONTH(D47)))</f>
        <v/>
      </c>
      <c r="I47" s="16"/>
    </row>
    <row r="48" customFormat="false" ht="15" hidden="false" customHeight="false" outlineLevel="0" collapsed="false">
      <c r="A48" s="16"/>
      <c r="B48" s="16"/>
      <c r="C48" s="16"/>
      <c r="D48" s="15"/>
      <c r="E48" s="17"/>
      <c r="F48" s="16"/>
      <c r="G48" s="9" t="str">
        <f aca="false">IFERROR(E48/F48,"-")</f>
        <v>-</v>
      </c>
      <c r="H48" s="24" t="str">
        <f aca="false">IF(D48="","",INDEX(Lista_Meses,MONTH(D48)))</f>
        <v/>
      </c>
      <c r="I48" s="16"/>
    </row>
    <row r="49" customFormat="false" ht="15" hidden="false" customHeight="false" outlineLevel="0" collapsed="false">
      <c r="A49" s="16"/>
      <c r="B49" s="16"/>
      <c r="C49" s="16"/>
      <c r="D49" s="15"/>
      <c r="E49" s="17"/>
      <c r="F49" s="16"/>
      <c r="G49" s="9" t="str">
        <f aca="false">IFERROR(E49/F49,"-")</f>
        <v>-</v>
      </c>
      <c r="H49" s="24" t="str">
        <f aca="false">IF(D49="","",INDEX(Lista_Meses,MONTH(D49)))</f>
        <v/>
      </c>
      <c r="I49" s="16"/>
    </row>
    <row r="50" customFormat="false" ht="15" hidden="false" customHeight="false" outlineLevel="0" collapsed="false">
      <c r="A50" s="16"/>
      <c r="B50" s="16"/>
      <c r="C50" s="16"/>
      <c r="D50" s="15"/>
      <c r="E50" s="17"/>
      <c r="F50" s="16"/>
      <c r="G50" s="9" t="str">
        <f aca="false">IFERROR(E50/F50,"-")</f>
        <v>-</v>
      </c>
      <c r="H50" s="24" t="str">
        <f aca="false">IF(D50="","",INDEX(Lista_Meses,MONTH(D50)))</f>
        <v/>
      </c>
      <c r="I50" s="16"/>
    </row>
    <row r="51" customFormat="false" ht="15" hidden="false" customHeight="false" outlineLevel="0" collapsed="false">
      <c r="A51" s="16"/>
      <c r="B51" s="16"/>
      <c r="C51" s="16"/>
      <c r="D51" s="15"/>
      <c r="E51" s="17"/>
      <c r="F51" s="16"/>
      <c r="G51" s="9" t="str">
        <f aca="false">IFERROR(E51/F51,"-")</f>
        <v>-</v>
      </c>
      <c r="H51" s="24" t="str">
        <f aca="false">IF(D51="","",INDEX(Lista_Meses,MONTH(D51)))</f>
        <v/>
      </c>
      <c r="I51" s="16"/>
    </row>
    <row r="52" customFormat="false" ht="15" hidden="false" customHeight="false" outlineLevel="0" collapsed="false">
      <c r="A52" s="16"/>
      <c r="B52" s="16"/>
      <c r="C52" s="16"/>
      <c r="D52" s="15"/>
      <c r="E52" s="17"/>
      <c r="F52" s="16"/>
      <c r="G52" s="9" t="str">
        <f aca="false">IFERROR(E52/F52,"-")</f>
        <v>-</v>
      </c>
      <c r="H52" s="24" t="str">
        <f aca="false">IF(D52="","",INDEX(Lista_Meses,MONTH(D52)))</f>
        <v/>
      </c>
      <c r="I52" s="16"/>
    </row>
    <row r="53" customFormat="false" ht="15" hidden="false" customHeight="false" outlineLevel="0" collapsed="false">
      <c r="A53" s="16"/>
      <c r="B53" s="16"/>
      <c r="C53" s="16"/>
      <c r="D53" s="15"/>
      <c r="E53" s="17"/>
      <c r="F53" s="16"/>
      <c r="G53" s="9" t="str">
        <f aca="false">IFERROR(E53/F53,"-")</f>
        <v>-</v>
      </c>
      <c r="H53" s="24" t="str">
        <f aca="false">IF(D53="","",INDEX(Lista_Meses,MONTH(D53)))</f>
        <v/>
      </c>
      <c r="I53" s="16"/>
    </row>
    <row r="54" customFormat="false" ht="15" hidden="false" customHeight="false" outlineLevel="0" collapsed="false">
      <c r="A54" s="16"/>
      <c r="B54" s="16"/>
      <c r="C54" s="16"/>
      <c r="D54" s="15"/>
      <c r="E54" s="17"/>
      <c r="F54" s="16"/>
      <c r="G54" s="9" t="str">
        <f aca="false">IFERROR(E54/F54,"-")</f>
        <v>-</v>
      </c>
      <c r="H54" s="24" t="str">
        <f aca="false">IF(D54="","",INDEX(Lista_Meses,MONTH(D54)))</f>
        <v/>
      </c>
      <c r="I54" s="16"/>
    </row>
    <row r="55" customFormat="false" ht="15" hidden="false" customHeight="false" outlineLevel="0" collapsed="false">
      <c r="A55" s="16"/>
      <c r="B55" s="16"/>
      <c r="C55" s="16"/>
      <c r="D55" s="15"/>
      <c r="E55" s="17"/>
      <c r="F55" s="16"/>
      <c r="G55" s="9" t="str">
        <f aca="false">IFERROR(E55/F55,"-")</f>
        <v>-</v>
      </c>
      <c r="H55" s="24" t="str">
        <f aca="false">IF(D55="","",INDEX(Lista_Meses,MONTH(D55)))</f>
        <v/>
      </c>
      <c r="I55" s="16"/>
    </row>
    <row r="56" customFormat="false" ht="15" hidden="false" customHeight="false" outlineLevel="0" collapsed="false">
      <c r="A56" s="16"/>
      <c r="B56" s="16"/>
      <c r="C56" s="16"/>
      <c r="D56" s="15"/>
      <c r="E56" s="17"/>
      <c r="F56" s="16"/>
      <c r="G56" s="9" t="str">
        <f aca="false">IFERROR(E56/F56,"-")</f>
        <v>-</v>
      </c>
      <c r="H56" s="24" t="str">
        <f aca="false">IF(D56="","",INDEX(Lista_Meses,MONTH(D56)))</f>
        <v/>
      </c>
      <c r="I56" s="16"/>
    </row>
    <row r="57" customFormat="false" ht="15" hidden="false" customHeight="false" outlineLevel="0" collapsed="false">
      <c r="A57" s="16"/>
      <c r="B57" s="16"/>
      <c r="C57" s="16"/>
      <c r="D57" s="15"/>
      <c r="E57" s="17"/>
      <c r="F57" s="16"/>
      <c r="G57" s="9" t="str">
        <f aca="false">IFERROR(E57/F57,"-")</f>
        <v>-</v>
      </c>
      <c r="H57" s="24" t="str">
        <f aca="false">IF(D57="","",INDEX(Lista_Meses,MONTH(D57)))</f>
        <v/>
      </c>
      <c r="I57" s="16"/>
    </row>
    <row r="58" customFormat="false" ht="15" hidden="false" customHeight="false" outlineLevel="0" collapsed="false">
      <c r="A58" s="16"/>
      <c r="B58" s="16"/>
      <c r="C58" s="16"/>
      <c r="D58" s="15"/>
      <c r="E58" s="17"/>
      <c r="F58" s="16"/>
      <c r="G58" s="9" t="str">
        <f aca="false">IFERROR(E58/F58,"-")</f>
        <v>-</v>
      </c>
      <c r="H58" s="24" t="str">
        <f aca="false">IF(D58="","",INDEX(Lista_Meses,MONTH(D58)))</f>
        <v/>
      </c>
      <c r="I58" s="16"/>
    </row>
    <row r="59" customFormat="false" ht="15" hidden="false" customHeight="false" outlineLevel="0" collapsed="false">
      <c r="A59" s="16"/>
      <c r="B59" s="16"/>
      <c r="C59" s="16"/>
      <c r="D59" s="15"/>
      <c r="E59" s="17"/>
      <c r="F59" s="16"/>
      <c r="G59" s="9" t="str">
        <f aca="false">IFERROR(E59/F59,"-")</f>
        <v>-</v>
      </c>
      <c r="H59" s="24" t="str">
        <f aca="false">IF(D59="","",INDEX(Lista_Meses,MONTH(D59)))</f>
        <v/>
      </c>
      <c r="I59" s="16"/>
    </row>
    <row r="60" customFormat="false" ht="15" hidden="false" customHeight="false" outlineLevel="0" collapsed="false">
      <c r="A60" s="16"/>
      <c r="B60" s="16"/>
      <c r="C60" s="16"/>
      <c r="D60" s="15"/>
      <c r="E60" s="17"/>
      <c r="F60" s="16"/>
      <c r="G60" s="9" t="str">
        <f aca="false">IFERROR(E60/F60,"-")</f>
        <v>-</v>
      </c>
      <c r="H60" s="24" t="str">
        <f aca="false">IF(D60="","",INDEX(Lista_Meses,MONTH(D60)))</f>
        <v/>
      </c>
      <c r="I60" s="16"/>
    </row>
    <row r="61" customFormat="false" ht="15" hidden="false" customHeight="false" outlineLevel="0" collapsed="false">
      <c r="A61" s="16"/>
      <c r="B61" s="16"/>
      <c r="C61" s="16"/>
      <c r="D61" s="15"/>
      <c r="E61" s="17"/>
      <c r="F61" s="16"/>
      <c r="G61" s="9" t="str">
        <f aca="false">IFERROR(E61/F61,"-")</f>
        <v>-</v>
      </c>
      <c r="H61" s="24" t="str">
        <f aca="false">IF(D61="","",INDEX(Lista_Meses,MONTH(D61)))</f>
        <v/>
      </c>
      <c r="I61" s="16"/>
    </row>
    <row r="62" customFormat="false" ht="15" hidden="false" customHeight="false" outlineLevel="0" collapsed="false">
      <c r="A62" s="16"/>
      <c r="B62" s="16"/>
      <c r="C62" s="16"/>
      <c r="D62" s="15"/>
      <c r="E62" s="17"/>
      <c r="F62" s="16"/>
      <c r="G62" s="9" t="str">
        <f aca="false">IFERROR(E62/F62,"-")</f>
        <v>-</v>
      </c>
      <c r="H62" s="24" t="str">
        <f aca="false">IF(D62="","",INDEX(Lista_Meses,MONTH(D62)))</f>
        <v/>
      </c>
      <c r="I62" s="16"/>
    </row>
    <row r="63" customFormat="false" ht="15" hidden="false" customHeight="false" outlineLevel="0" collapsed="false">
      <c r="A63" s="16"/>
      <c r="B63" s="16"/>
      <c r="C63" s="16"/>
      <c r="D63" s="15"/>
      <c r="E63" s="17"/>
      <c r="F63" s="16"/>
      <c r="G63" s="9" t="str">
        <f aca="false">IFERROR(E63/F63,"-")</f>
        <v>-</v>
      </c>
      <c r="H63" s="24" t="str">
        <f aca="false">IF(D63="","",INDEX(Lista_Meses,MONTH(D63)))</f>
        <v/>
      </c>
      <c r="I63" s="16"/>
    </row>
    <row r="64" customFormat="false" ht="15" hidden="false" customHeight="false" outlineLevel="0" collapsed="false">
      <c r="A64" s="16"/>
      <c r="B64" s="16"/>
      <c r="C64" s="16"/>
      <c r="D64" s="15"/>
      <c r="E64" s="17"/>
      <c r="F64" s="16"/>
      <c r="G64" s="9" t="str">
        <f aca="false">IFERROR(E64/F64,"-")</f>
        <v>-</v>
      </c>
      <c r="H64" s="24" t="str">
        <f aca="false">IF(D64="","",INDEX(Lista_Meses,MONTH(D64)))</f>
        <v/>
      </c>
      <c r="I64" s="16"/>
    </row>
    <row r="65" customFormat="false" ht="15" hidden="false" customHeight="false" outlineLevel="0" collapsed="false">
      <c r="A65" s="16"/>
      <c r="B65" s="16"/>
      <c r="C65" s="16"/>
      <c r="D65" s="15"/>
      <c r="E65" s="17"/>
      <c r="F65" s="16"/>
      <c r="G65" s="9" t="str">
        <f aca="false">IFERROR(E65/F65,"-")</f>
        <v>-</v>
      </c>
      <c r="H65" s="24" t="str">
        <f aca="false">IF(D65="","",INDEX(Lista_Meses,MONTH(D65)))</f>
        <v/>
      </c>
      <c r="I65" s="16"/>
    </row>
    <row r="66" customFormat="false" ht="15" hidden="false" customHeight="false" outlineLevel="0" collapsed="false">
      <c r="A66" s="16"/>
      <c r="B66" s="16"/>
      <c r="C66" s="16"/>
      <c r="D66" s="15"/>
      <c r="E66" s="17"/>
      <c r="F66" s="16"/>
      <c r="G66" s="9" t="str">
        <f aca="false">IFERROR(E66/F66,"-")</f>
        <v>-</v>
      </c>
      <c r="H66" s="24" t="str">
        <f aca="false">IF(D66="","",INDEX(Lista_Meses,MONTH(D66)))</f>
        <v/>
      </c>
      <c r="I66" s="16"/>
    </row>
    <row r="67" customFormat="false" ht="15" hidden="false" customHeight="false" outlineLevel="0" collapsed="false">
      <c r="A67" s="16"/>
      <c r="B67" s="16"/>
      <c r="C67" s="16"/>
      <c r="D67" s="15"/>
      <c r="E67" s="17"/>
      <c r="F67" s="16"/>
      <c r="G67" s="9" t="str">
        <f aca="false">IFERROR(E67/F67,"-")</f>
        <v>-</v>
      </c>
      <c r="H67" s="24" t="str">
        <f aca="false">IF(D67="","",INDEX(Lista_Meses,MONTH(D67)))</f>
        <v/>
      </c>
      <c r="I67" s="16"/>
    </row>
    <row r="68" customFormat="false" ht="15" hidden="false" customHeight="false" outlineLevel="0" collapsed="false">
      <c r="A68" s="16"/>
      <c r="B68" s="16"/>
      <c r="C68" s="16"/>
      <c r="D68" s="15"/>
      <c r="E68" s="17"/>
      <c r="F68" s="16"/>
      <c r="G68" s="9" t="str">
        <f aca="false">IFERROR(E68/F68,"-")</f>
        <v>-</v>
      </c>
      <c r="H68" s="24" t="str">
        <f aca="false">IF(D68="","",INDEX(Lista_Meses,MONTH(D68)))</f>
        <v/>
      </c>
      <c r="I68" s="16"/>
    </row>
    <row r="69" customFormat="false" ht="15" hidden="false" customHeight="false" outlineLevel="0" collapsed="false">
      <c r="A69" s="16"/>
      <c r="B69" s="16"/>
      <c r="C69" s="16"/>
      <c r="D69" s="15"/>
      <c r="E69" s="17"/>
      <c r="F69" s="16"/>
      <c r="G69" s="9" t="str">
        <f aca="false">IFERROR(E69/F69,"-")</f>
        <v>-</v>
      </c>
      <c r="H69" s="24" t="str">
        <f aca="false">IF(D69="","",INDEX(Lista_Meses,MONTH(D69)))</f>
        <v/>
      </c>
      <c r="I69" s="16"/>
    </row>
    <row r="70" customFormat="false" ht="15" hidden="false" customHeight="false" outlineLevel="0" collapsed="false">
      <c r="A70" s="16"/>
      <c r="B70" s="16"/>
      <c r="C70" s="16"/>
      <c r="D70" s="15"/>
      <c r="E70" s="17"/>
      <c r="F70" s="16"/>
      <c r="G70" s="9" t="str">
        <f aca="false">IFERROR(E70/F70,"-")</f>
        <v>-</v>
      </c>
      <c r="H70" s="24" t="str">
        <f aca="false">IF(D70="","",INDEX(Lista_Meses,MONTH(D70)))</f>
        <v/>
      </c>
      <c r="I70" s="16"/>
    </row>
    <row r="71" customFormat="false" ht="15" hidden="false" customHeight="false" outlineLevel="0" collapsed="false">
      <c r="A71" s="16"/>
      <c r="B71" s="16"/>
      <c r="C71" s="16"/>
      <c r="D71" s="15"/>
      <c r="E71" s="17"/>
      <c r="F71" s="16"/>
      <c r="G71" s="9" t="str">
        <f aca="false">IFERROR(E71/F71,"-")</f>
        <v>-</v>
      </c>
      <c r="H71" s="24" t="str">
        <f aca="false">IF(D71="","",INDEX(Lista_Meses,MONTH(D71)))</f>
        <v/>
      </c>
      <c r="I71" s="16"/>
    </row>
    <row r="72" customFormat="false" ht="15" hidden="false" customHeight="false" outlineLevel="0" collapsed="false">
      <c r="A72" s="16"/>
      <c r="B72" s="16"/>
      <c r="C72" s="16"/>
      <c r="D72" s="15"/>
      <c r="E72" s="17"/>
      <c r="F72" s="16"/>
      <c r="G72" s="9" t="str">
        <f aca="false">IFERROR(E72/F72,"-")</f>
        <v>-</v>
      </c>
      <c r="H72" s="24" t="str">
        <f aca="false">IF(D72="","",INDEX(Lista_Meses,MONTH(D72)))</f>
        <v/>
      </c>
      <c r="I72" s="16"/>
    </row>
    <row r="73" customFormat="false" ht="15" hidden="false" customHeight="false" outlineLevel="0" collapsed="false">
      <c r="A73" s="16"/>
      <c r="B73" s="16"/>
      <c r="C73" s="16"/>
      <c r="D73" s="15"/>
      <c r="E73" s="17"/>
      <c r="F73" s="16"/>
      <c r="G73" s="9" t="str">
        <f aca="false">IFERROR(E73/F73,"-")</f>
        <v>-</v>
      </c>
      <c r="H73" s="24" t="str">
        <f aca="false">IF(D73="","",INDEX(Lista_Meses,MONTH(D73)))</f>
        <v/>
      </c>
      <c r="I73" s="16"/>
    </row>
    <row r="74" customFormat="false" ht="15" hidden="false" customHeight="false" outlineLevel="0" collapsed="false">
      <c r="A74" s="16"/>
      <c r="B74" s="16"/>
      <c r="C74" s="16"/>
      <c r="D74" s="15"/>
      <c r="E74" s="17"/>
      <c r="F74" s="16"/>
      <c r="G74" s="9" t="str">
        <f aca="false">IFERROR(E74/F74,"-")</f>
        <v>-</v>
      </c>
      <c r="H74" s="24" t="str">
        <f aca="false">IF(D74="","",INDEX(Lista_Meses,MONTH(D74)))</f>
        <v/>
      </c>
      <c r="I74" s="16"/>
    </row>
    <row r="75" customFormat="false" ht="15" hidden="false" customHeight="false" outlineLevel="0" collapsed="false">
      <c r="A75" s="16"/>
      <c r="B75" s="16"/>
      <c r="C75" s="16"/>
      <c r="D75" s="15"/>
      <c r="E75" s="17"/>
      <c r="F75" s="16"/>
      <c r="G75" s="9" t="str">
        <f aca="false">IFERROR(E75/F75,"-")</f>
        <v>-</v>
      </c>
      <c r="H75" s="24" t="str">
        <f aca="false">IF(D75="","",INDEX(Lista_Meses,MONTH(D75)))</f>
        <v/>
      </c>
      <c r="I75" s="16"/>
    </row>
    <row r="76" customFormat="false" ht="15" hidden="false" customHeight="false" outlineLevel="0" collapsed="false">
      <c r="A76" s="16"/>
      <c r="B76" s="16"/>
      <c r="C76" s="16"/>
      <c r="D76" s="15"/>
      <c r="E76" s="17"/>
      <c r="F76" s="16"/>
      <c r="G76" s="9" t="str">
        <f aca="false">IFERROR(E76/F76,"-")</f>
        <v>-</v>
      </c>
      <c r="H76" s="24" t="str">
        <f aca="false">IF(D76="","",INDEX(Lista_Meses,MONTH(D76)))</f>
        <v/>
      </c>
      <c r="I76" s="16"/>
    </row>
    <row r="77" customFormat="false" ht="15" hidden="false" customHeight="false" outlineLevel="0" collapsed="false">
      <c r="A77" s="16"/>
      <c r="B77" s="16"/>
      <c r="C77" s="16"/>
      <c r="D77" s="15"/>
      <c r="E77" s="17"/>
      <c r="F77" s="16"/>
      <c r="G77" s="9" t="str">
        <f aca="false">IFERROR(E77/F77,"-")</f>
        <v>-</v>
      </c>
      <c r="H77" s="24" t="str">
        <f aca="false">IF(D77="","",INDEX(Lista_Meses,MONTH(D77)))</f>
        <v/>
      </c>
      <c r="I77" s="16"/>
    </row>
    <row r="78" customFormat="false" ht="15" hidden="false" customHeight="false" outlineLevel="0" collapsed="false">
      <c r="A78" s="16"/>
      <c r="B78" s="16"/>
      <c r="C78" s="16"/>
      <c r="D78" s="15"/>
      <c r="E78" s="17"/>
      <c r="F78" s="16"/>
      <c r="G78" s="9" t="str">
        <f aca="false">IFERROR(E78/F78,"-")</f>
        <v>-</v>
      </c>
      <c r="H78" s="24" t="str">
        <f aca="false">IF(D78="","",INDEX(Lista_Meses,MONTH(D78)))</f>
        <v/>
      </c>
      <c r="I78" s="16"/>
    </row>
    <row r="79" customFormat="false" ht="15" hidden="false" customHeight="false" outlineLevel="0" collapsed="false">
      <c r="A79" s="16"/>
      <c r="B79" s="16"/>
      <c r="C79" s="16"/>
      <c r="D79" s="15"/>
      <c r="E79" s="17"/>
      <c r="F79" s="16"/>
      <c r="G79" s="9" t="str">
        <f aca="false">IFERROR(E79/F79,"-")</f>
        <v>-</v>
      </c>
      <c r="H79" s="24" t="str">
        <f aca="false">IF(D79="","",INDEX(Lista_Meses,MONTH(D79)))</f>
        <v/>
      </c>
      <c r="I79" s="16"/>
    </row>
    <row r="80" customFormat="false" ht="15" hidden="false" customHeight="false" outlineLevel="0" collapsed="false">
      <c r="A80" s="16"/>
      <c r="B80" s="16"/>
      <c r="C80" s="16"/>
      <c r="D80" s="15"/>
      <c r="E80" s="17"/>
      <c r="F80" s="16"/>
      <c r="G80" s="9" t="str">
        <f aca="false">IFERROR(E80/F80,"-")</f>
        <v>-</v>
      </c>
      <c r="H80" s="24" t="str">
        <f aca="false">IF(D80="","",INDEX(Lista_Meses,MONTH(D80)))</f>
        <v/>
      </c>
      <c r="I80" s="16"/>
    </row>
    <row r="81" customFormat="false" ht="15" hidden="false" customHeight="false" outlineLevel="0" collapsed="false">
      <c r="A81" s="16"/>
      <c r="B81" s="16"/>
      <c r="C81" s="16"/>
      <c r="D81" s="15"/>
      <c r="E81" s="17"/>
      <c r="F81" s="16"/>
      <c r="G81" s="9" t="str">
        <f aca="false">IFERROR(E81/F81,"-")</f>
        <v>-</v>
      </c>
      <c r="H81" s="24" t="str">
        <f aca="false">IF(D81="","",INDEX(Lista_Meses,MONTH(D81)))</f>
        <v/>
      </c>
      <c r="I81" s="16"/>
    </row>
    <row r="82" customFormat="false" ht="15" hidden="false" customHeight="false" outlineLevel="0" collapsed="false">
      <c r="A82" s="16"/>
      <c r="B82" s="16"/>
      <c r="C82" s="16"/>
      <c r="D82" s="15"/>
      <c r="E82" s="17"/>
      <c r="F82" s="16"/>
      <c r="G82" s="9" t="str">
        <f aca="false">IFERROR(E82/F82,"-")</f>
        <v>-</v>
      </c>
      <c r="H82" s="24" t="str">
        <f aca="false">IF(D82="","",INDEX(Lista_Meses,MONTH(D82)))</f>
        <v/>
      </c>
      <c r="I82" s="16"/>
    </row>
    <row r="83" customFormat="false" ht="15" hidden="false" customHeight="false" outlineLevel="0" collapsed="false">
      <c r="A83" s="16"/>
      <c r="B83" s="16"/>
      <c r="C83" s="16"/>
      <c r="D83" s="15"/>
      <c r="E83" s="17"/>
      <c r="F83" s="16"/>
      <c r="G83" s="9" t="str">
        <f aca="false">IFERROR(E83/F83,"-")</f>
        <v>-</v>
      </c>
      <c r="H83" s="24" t="str">
        <f aca="false">IF(D83="","",INDEX(Lista_Meses,MONTH(D83)))</f>
        <v/>
      </c>
      <c r="I83" s="16"/>
    </row>
    <row r="84" customFormat="false" ht="15" hidden="false" customHeight="false" outlineLevel="0" collapsed="false">
      <c r="A84" s="16"/>
      <c r="B84" s="16"/>
      <c r="C84" s="16"/>
      <c r="D84" s="15"/>
      <c r="E84" s="17"/>
      <c r="F84" s="16"/>
      <c r="G84" s="9" t="str">
        <f aca="false">IFERROR(E84/F84,"-")</f>
        <v>-</v>
      </c>
      <c r="H84" s="24" t="str">
        <f aca="false">IF(D84="","",INDEX(Lista_Meses,MONTH(D84)))</f>
        <v/>
      </c>
      <c r="I84" s="16"/>
    </row>
    <row r="85" customFormat="false" ht="15" hidden="false" customHeight="false" outlineLevel="0" collapsed="false">
      <c r="A85" s="16"/>
      <c r="B85" s="16"/>
      <c r="C85" s="16"/>
      <c r="D85" s="15"/>
      <c r="E85" s="17"/>
      <c r="F85" s="16"/>
      <c r="G85" s="9" t="str">
        <f aca="false">IFERROR(E85/F85,"-")</f>
        <v>-</v>
      </c>
      <c r="H85" s="24" t="str">
        <f aca="false">IF(D85="","",INDEX(Lista_Meses,MONTH(D85)))</f>
        <v/>
      </c>
      <c r="I85" s="16"/>
    </row>
    <row r="86" customFormat="false" ht="15" hidden="false" customHeight="false" outlineLevel="0" collapsed="false">
      <c r="A86" s="16"/>
      <c r="B86" s="16"/>
      <c r="C86" s="16"/>
      <c r="D86" s="15"/>
      <c r="E86" s="17"/>
      <c r="F86" s="16"/>
      <c r="G86" s="9" t="str">
        <f aca="false">IFERROR(E86/F86,"-")</f>
        <v>-</v>
      </c>
      <c r="H86" s="24" t="str">
        <f aca="false">IF(D86="","",INDEX(Lista_Meses,MONTH(D86)))</f>
        <v/>
      </c>
      <c r="I86" s="16"/>
    </row>
    <row r="87" customFormat="false" ht="15" hidden="false" customHeight="false" outlineLevel="0" collapsed="false">
      <c r="A87" s="16"/>
      <c r="B87" s="16"/>
      <c r="C87" s="16"/>
      <c r="D87" s="15"/>
      <c r="E87" s="17"/>
      <c r="F87" s="16"/>
      <c r="G87" s="9" t="str">
        <f aca="false">IFERROR(E87/F87,"-")</f>
        <v>-</v>
      </c>
      <c r="H87" s="24" t="str">
        <f aca="false">IF(D87="","",INDEX(Lista_Meses,MONTH(D87)))</f>
        <v/>
      </c>
      <c r="I87" s="16"/>
    </row>
    <row r="88" customFormat="false" ht="15" hidden="false" customHeight="false" outlineLevel="0" collapsed="false">
      <c r="A88" s="16"/>
      <c r="B88" s="16"/>
      <c r="C88" s="16"/>
      <c r="D88" s="15"/>
      <c r="E88" s="17"/>
      <c r="F88" s="16"/>
      <c r="G88" s="9" t="str">
        <f aca="false">IFERROR(E88/F88,"-")</f>
        <v>-</v>
      </c>
      <c r="H88" s="24" t="str">
        <f aca="false">IF(D88="","",INDEX(Lista_Meses,MONTH(D88)))</f>
        <v/>
      </c>
      <c r="I88" s="16"/>
    </row>
    <row r="89" customFormat="false" ht="15" hidden="false" customHeight="false" outlineLevel="0" collapsed="false">
      <c r="A89" s="16"/>
      <c r="B89" s="16"/>
      <c r="C89" s="16"/>
      <c r="D89" s="15"/>
      <c r="E89" s="17"/>
      <c r="F89" s="16"/>
      <c r="G89" s="9" t="str">
        <f aca="false">IFERROR(E89/F89,"-")</f>
        <v>-</v>
      </c>
      <c r="H89" s="24" t="str">
        <f aca="false">IF(D89="","",INDEX(Lista_Meses,MONTH(D89)))</f>
        <v/>
      </c>
      <c r="I89" s="16"/>
    </row>
    <row r="90" customFormat="false" ht="15" hidden="false" customHeight="false" outlineLevel="0" collapsed="false">
      <c r="A90" s="16"/>
      <c r="B90" s="16"/>
      <c r="C90" s="16"/>
      <c r="D90" s="15"/>
      <c r="E90" s="17"/>
      <c r="F90" s="16"/>
      <c r="G90" s="9" t="str">
        <f aca="false">IFERROR(E90/F90,"-")</f>
        <v>-</v>
      </c>
      <c r="H90" s="24" t="str">
        <f aca="false">IF(D90="","",INDEX(Lista_Meses,MONTH(D90)))</f>
        <v/>
      </c>
      <c r="I90" s="16"/>
    </row>
    <row r="91" customFormat="false" ht="15" hidden="false" customHeight="false" outlineLevel="0" collapsed="false">
      <c r="A91" s="16"/>
      <c r="B91" s="16"/>
      <c r="C91" s="16"/>
      <c r="D91" s="15"/>
      <c r="E91" s="17"/>
      <c r="F91" s="16"/>
      <c r="G91" s="9" t="str">
        <f aca="false">IFERROR(E91/F91,"-")</f>
        <v>-</v>
      </c>
      <c r="H91" s="24" t="str">
        <f aca="false">IF(D91="","",INDEX(Lista_Meses,MONTH(D91)))</f>
        <v/>
      </c>
      <c r="I91" s="16"/>
    </row>
    <row r="92" customFormat="false" ht="15" hidden="false" customHeight="false" outlineLevel="0" collapsed="false">
      <c r="A92" s="16"/>
      <c r="B92" s="16"/>
      <c r="C92" s="16"/>
      <c r="D92" s="15"/>
      <c r="E92" s="17"/>
      <c r="F92" s="16"/>
      <c r="G92" s="9" t="str">
        <f aca="false">IFERROR(E92/F92,"-")</f>
        <v>-</v>
      </c>
      <c r="H92" s="24" t="str">
        <f aca="false">IF(D92="","",INDEX(Lista_Meses,MONTH(D92)))</f>
        <v/>
      </c>
      <c r="I92" s="16"/>
    </row>
    <row r="93" customFormat="false" ht="15" hidden="false" customHeight="false" outlineLevel="0" collapsed="false">
      <c r="A93" s="16"/>
      <c r="B93" s="16"/>
      <c r="C93" s="16"/>
      <c r="D93" s="15"/>
      <c r="E93" s="17"/>
      <c r="F93" s="16"/>
      <c r="G93" s="9" t="str">
        <f aca="false">IFERROR(E93/F93,"-")</f>
        <v>-</v>
      </c>
      <c r="H93" s="24" t="str">
        <f aca="false">IF(D93="","",INDEX(Lista_Meses,MONTH(D93)))</f>
        <v/>
      </c>
      <c r="I93" s="16"/>
    </row>
    <row r="94" customFormat="false" ht="15" hidden="false" customHeight="false" outlineLevel="0" collapsed="false">
      <c r="A94" s="16"/>
      <c r="B94" s="16"/>
      <c r="C94" s="16"/>
      <c r="D94" s="15"/>
      <c r="E94" s="17"/>
      <c r="F94" s="16"/>
      <c r="G94" s="9" t="str">
        <f aca="false">IFERROR(E94/F94,"-")</f>
        <v>-</v>
      </c>
      <c r="H94" s="24" t="str">
        <f aca="false">IF(D94="","",INDEX(Lista_Meses,MONTH(D94)))</f>
        <v/>
      </c>
      <c r="I94" s="16"/>
    </row>
    <row r="95" customFormat="false" ht="15" hidden="false" customHeight="false" outlineLevel="0" collapsed="false">
      <c r="A95" s="16"/>
      <c r="B95" s="16"/>
      <c r="C95" s="16"/>
      <c r="D95" s="15"/>
      <c r="E95" s="17"/>
      <c r="F95" s="16"/>
      <c r="G95" s="9" t="str">
        <f aca="false">IFERROR(E95/F95,"-")</f>
        <v>-</v>
      </c>
      <c r="H95" s="24" t="str">
        <f aca="false">IF(D95="","",INDEX(Lista_Meses,MONTH(D95)))</f>
        <v/>
      </c>
      <c r="I95" s="16"/>
    </row>
    <row r="96" customFormat="false" ht="15" hidden="false" customHeight="false" outlineLevel="0" collapsed="false">
      <c r="A96" s="16"/>
      <c r="B96" s="16"/>
      <c r="C96" s="16"/>
      <c r="D96" s="15"/>
      <c r="E96" s="17"/>
      <c r="F96" s="16"/>
      <c r="G96" s="9" t="str">
        <f aca="false">IFERROR(E96/F96,"-")</f>
        <v>-</v>
      </c>
      <c r="H96" s="24" t="str">
        <f aca="false">IF(D96="","",INDEX(Lista_Meses,MONTH(D96)))</f>
        <v/>
      </c>
      <c r="I96" s="16"/>
    </row>
    <row r="97" customFormat="false" ht="15" hidden="false" customHeight="false" outlineLevel="0" collapsed="false">
      <c r="A97" s="16"/>
      <c r="B97" s="16"/>
      <c r="C97" s="16"/>
      <c r="D97" s="15"/>
      <c r="E97" s="17"/>
      <c r="F97" s="16"/>
      <c r="G97" s="9" t="str">
        <f aca="false">IFERROR(E97/F97,"-")</f>
        <v>-</v>
      </c>
      <c r="H97" s="24" t="str">
        <f aca="false">IF(D97="","",INDEX(Lista_Meses,MONTH(D97)))</f>
        <v/>
      </c>
      <c r="I97" s="16"/>
    </row>
    <row r="98" customFormat="false" ht="15" hidden="false" customHeight="false" outlineLevel="0" collapsed="false">
      <c r="A98" s="16"/>
      <c r="B98" s="16"/>
      <c r="C98" s="16"/>
      <c r="D98" s="15"/>
      <c r="E98" s="17"/>
      <c r="F98" s="16"/>
      <c r="G98" s="9" t="str">
        <f aca="false">IFERROR(E98/F98,"-")</f>
        <v>-</v>
      </c>
      <c r="H98" s="24" t="str">
        <f aca="false">IF(D98="","",INDEX(Lista_Meses,MONTH(D98)))</f>
        <v/>
      </c>
      <c r="I98" s="16"/>
    </row>
    <row r="99" customFormat="false" ht="15" hidden="false" customHeight="false" outlineLevel="0" collapsed="false">
      <c r="A99" s="16"/>
      <c r="B99" s="16"/>
      <c r="C99" s="16"/>
      <c r="D99" s="15"/>
      <c r="E99" s="17"/>
      <c r="F99" s="16"/>
      <c r="G99" s="9" t="str">
        <f aca="false">IFERROR(E99/F99,"-")</f>
        <v>-</v>
      </c>
      <c r="H99" s="24" t="str">
        <f aca="false">IF(D99="","",INDEX(Lista_Meses,MONTH(D99)))</f>
        <v/>
      </c>
      <c r="I99" s="16"/>
    </row>
    <row r="100" customFormat="false" ht="15" hidden="false" customHeight="false" outlineLevel="0" collapsed="false">
      <c r="A100" s="16"/>
      <c r="B100" s="16"/>
      <c r="C100" s="16"/>
      <c r="D100" s="15"/>
      <c r="E100" s="17"/>
      <c r="F100" s="16"/>
      <c r="G100" s="9" t="str">
        <f aca="false">IFERROR(E100/F100,"-")</f>
        <v>-</v>
      </c>
      <c r="H100" s="24" t="str">
        <f aca="false">IF(D100="","",INDEX(Lista_Meses,MONTH(D100)))</f>
        <v/>
      </c>
      <c r="I100" s="16"/>
    </row>
    <row r="101" customFormat="false" ht="15" hidden="false" customHeight="false" outlineLevel="0" collapsed="false">
      <c r="A101" s="16"/>
      <c r="B101" s="16"/>
      <c r="C101" s="16"/>
      <c r="D101" s="15"/>
      <c r="E101" s="17"/>
      <c r="F101" s="16"/>
      <c r="G101" s="9" t="str">
        <f aca="false">IFERROR(E101/F101,"-")</f>
        <v>-</v>
      </c>
      <c r="H101" s="24" t="str">
        <f aca="false">IF(D101="","",INDEX(Lista_Meses,MONTH(D101)))</f>
        <v/>
      </c>
      <c r="I101" s="16"/>
    </row>
    <row r="102" customFormat="false" ht="15" hidden="false" customHeight="false" outlineLevel="0" collapsed="false">
      <c r="A102" s="16"/>
      <c r="B102" s="16"/>
      <c r="C102" s="16"/>
      <c r="D102" s="15"/>
      <c r="E102" s="17"/>
      <c r="F102" s="16"/>
      <c r="G102" s="9" t="str">
        <f aca="false">IFERROR(E102/F102,"-")</f>
        <v>-</v>
      </c>
      <c r="H102" s="24" t="str">
        <f aca="false">IF(D102="","",INDEX(Lista_Meses,MONTH(D102)))</f>
        <v/>
      </c>
      <c r="I102" s="16"/>
    </row>
    <row r="103" customFormat="false" ht="15" hidden="false" customHeight="false" outlineLevel="0" collapsed="false">
      <c r="A103" s="16"/>
      <c r="B103" s="16"/>
      <c r="C103" s="16"/>
      <c r="D103" s="15"/>
      <c r="E103" s="17"/>
      <c r="F103" s="16"/>
      <c r="G103" s="9" t="str">
        <f aca="false">IFERROR(E103/F103,"-")</f>
        <v>-</v>
      </c>
      <c r="H103" s="24" t="str">
        <f aca="false">IF(D103="","",INDEX(Lista_Meses,MONTH(D103)))</f>
        <v/>
      </c>
      <c r="I103" s="16"/>
    </row>
    <row r="104" customFormat="false" ht="15" hidden="false" customHeight="false" outlineLevel="0" collapsed="false">
      <c r="A104" s="16"/>
      <c r="B104" s="16"/>
      <c r="C104" s="16"/>
      <c r="D104" s="15"/>
      <c r="E104" s="17"/>
      <c r="F104" s="16"/>
      <c r="G104" s="9" t="str">
        <f aca="false">IFERROR(E104/F104,"-")</f>
        <v>-</v>
      </c>
      <c r="H104" s="24" t="str">
        <f aca="false">IF(D104="","",INDEX(Lista_Meses,MONTH(D104)))</f>
        <v/>
      </c>
      <c r="I104" s="16"/>
    </row>
    <row r="105" customFormat="false" ht="15" hidden="false" customHeight="false" outlineLevel="0" collapsed="false">
      <c r="A105" s="16"/>
      <c r="B105" s="16"/>
      <c r="C105" s="16"/>
      <c r="D105" s="15"/>
      <c r="E105" s="17"/>
      <c r="F105" s="16"/>
      <c r="G105" s="9" t="str">
        <f aca="false">IFERROR(E105/F105,"-")</f>
        <v>-</v>
      </c>
      <c r="H105" s="24" t="str">
        <f aca="false">IF(D105="","",INDEX(Lista_Meses,MONTH(D105)))</f>
        <v/>
      </c>
      <c r="I105" s="16"/>
    </row>
    <row r="106" customFormat="false" ht="15" hidden="false" customHeight="false" outlineLevel="0" collapsed="false">
      <c r="A106" s="16"/>
      <c r="B106" s="16"/>
      <c r="C106" s="16"/>
      <c r="D106" s="15"/>
      <c r="E106" s="17"/>
      <c r="F106" s="16"/>
      <c r="G106" s="9" t="str">
        <f aca="false">IFERROR(E106/F106,"-")</f>
        <v>-</v>
      </c>
      <c r="H106" s="24" t="str">
        <f aca="false">IF(D106="","",INDEX(Lista_Meses,MONTH(D106)))</f>
        <v/>
      </c>
      <c r="I106" s="16"/>
    </row>
    <row r="107" customFormat="false" ht="15" hidden="false" customHeight="false" outlineLevel="0" collapsed="false">
      <c r="A107" s="16"/>
      <c r="B107" s="16"/>
      <c r="C107" s="16"/>
      <c r="D107" s="15"/>
      <c r="E107" s="17"/>
      <c r="F107" s="16"/>
      <c r="G107" s="9" t="str">
        <f aca="false">IFERROR(E107/F107,"-")</f>
        <v>-</v>
      </c>
      <c r="H107" s="24" t="str">
        <f aca="false">IF(D107="","",INDEX(Lista_Meses,MONTH(D107)))</f>
        <v/>
      </c>
      <c r="I107" s="16"/>
    </row>
    <row r="108" customFormat="false" ht="15" hidden="false" customHeight="false" outlineLevel="0" collapsed="false">
      <c r="A108" s="16"/>
      <c r="B108" s="16"/>
      <c r="C108" s="16"/>
      <c r="D108" s="15"/>
      <c r="E108" s="17"/>
      <c r="F108" s="16"/>
      <c r="G108" s="9" t="str">
        <f aca="false">IFERROR(E108/F108,"-")</f>
        <v>-</v>
      </c>
      <c r="H108" s="24" t="str">
        <f aca="false">IF(D108="","",INDEX(Lista_Meses,MONTH(D108)))</f>
        <v/>
      </c>
      <c r="I108" s="16"/>
    </row>
    <row r="109" customFormat="false" ht="15" hidden="false" customHeight="false" outlineLevel="0" collapsed="false">
      <c r="A109" s="16"/>
      <c r="B109" s="16"/>
      <c r="C109" s="16"/>
      <c r="D109" s="15"/>
      <c r="E109" s="17"/>
      <c r="F109" s="16"/>
      <c r="G109" s="9" t="str">
        <f aca="false">IFERROR(E109/F109,"-")</f>
        <v>-</v>
      </c>
      <c r="H109" s="24" t="str">
        <f aca="false">IF(D109="","",INDEX(Lista_Meses,MONTH(D109)))</f>
        <v/>
      </c>
      <c r="I109" s="16"/>
    </row>
    <row r="110" customFormat="false" ht="15" hidden="false" customHeight="false" outlineLevel="0" collapsed="false">
      <c r="A110" s="16"/>
      <c r="B110" s="16"/>
      <c r="C110" s="16"/>
      <c r="D110" s="15"/>
      <c r="E110" s="17"/>
      <c r="F110" s="16"/>
      <c r="G110" s="9" t="str">
        <f aca="false">IFERROR(E110/F110,"-")</f>
        <v>-</v>
      </c>
      <c r="H110" s="24" t="str">
        <f aca="false">IF(D110="","",INDEX(Lista_Meses,MONTH(D110)))</f>
        <v/>
      </c>
      <c r="I110" s="16"/>
    </row>
    <row r="111" customFormat="false" ht="15" hidden="false" customHeight="false" outlineLevel="0" collapsed="false">
      <c r="A111" s="16"/>
      <c r="B111" s="16"/>
      <c r="C111" s="16"/>
      <c r="D111" s="15"/>
      <c r="E111" s="17"/>
      <c r="F111" s="16"/>
      <c r="G111" s="9" t="str">
        <f aca="false">IFERROR(E111/F111,"-")</f>
        <v>-</v>
      </c>
      <c r="H111" s="24" t="str">
        <f aca="false">IF(D111="","",INDEX(Lista_Meses,MONTH(D111)))</f>
        <v/>
      </c>
      <c r="I111" s="16"/>
    </row>
    <row r="112" customFormat="false" ht="15" hidden="false" customHeight="false" outlineLevel="0" collapsed="false">
      <c r="A112" s="16"/>
      <c r="B112" s="16"/>
      <c r="C112" s="16"/>
      <c r="D112" s="15"/>
      <c r="E112" s="17"/>
      <c r="F112" s="16"/>
      <c r="G112" s="9" t="str">
        <f aca="false">IFERROR(E112/F112,"-")</f>
        <v>-</v>
      </c>
      <c r="H112" s="24" t="str">
        <f aca="false">IF(D112="","",INDEX(Lista_Meses,MONTH(D112)))</f>
        <v/>
      </c>
      <c r="I112" s="16"/>
    </row>
    <row r="113" customFormat="false" ht="15" hidden="false" customHeight="false" outlineLevel="0" collapsed="false">
      <c r="A113" s="16"/>
      <c r="B113" s="16"/>
      <c r="C113" s="16"/>
      <c r="D113" s="15"/>
      <c r="E113" s="17"/>
      <c r="F113" s="16"/>
      <c r="G113" s="9" t="str">
        <f aca="false">IFERROR(E113/F113,"-")</f>
        <v>-</v>
      </c>
      <c r="H113" s="24" t="str">
        <f aca="false">IF(D113="","",INDEX(Lista_Meses,MONTH(D113)))</f>
        <v/>
      </c>
      <c r="I113" s="16"/>
    </row>
    <row r="114" customFormat="false" ht="15" hidden="false" customHeight="false" outlineLevel="0" collapsed="false">
      <c r="A114" s="16"/>
      <c r="B114" s="16"/>
      <c r="C114" s="16"/>
      <c r="D114" s="15"/>
      <c r="E114" s="17"/>
      <c r="F114" s="16"/>
      <c r="G114" s="9" t="str">
        <f aca="false">IFERROR(E114/F114,"-")</f>
        <v>-</v>
      </c>
      <c r="H114" s="24" t="str">
        <f aca="false">IF(D114="","",INDEX(Lista_Meses,MONTH(D114)))</f>
        <v/>
      </c>
      <c r="I114" s="16"/>
    </row>
    <row r="115" customFormat="false" ht="15" hidden="false" customHeight="false" outlineLevel="0" collapsed="false">
      <c r="A115" s="16"/>
      <c r="B115" s="16"/>
      <c r="C115" s="16"/>
      <c r="D115" s="15"/>
      <c r="E115" s="17"/>
      <c r="F115" s="16"/>
      <c r="G115" s="9" t="str">
        <f aca="false">IFERROR(E115/F115,"-")</f>
        <v>-</v>
      </c>
      <c r="H115" s="24" t="str">
        <f aca="false">IF(D115="","",INDEX(Lista_Meses,MONTH(D115)))</f>
        <v/>
      </c>
      <c r="I115" s="16"/>
    </row>
    <row r="116" customFormat="false" ht="15" hidden="false" customHeight="false" outlineLevel="0" collapsed="false">
      <c r="A116" s="16"/>
      <c r="B116" s="16"/>
      <c r="C116" s="16"/>
      <c r="D116" s="15"/>
      <c r="E116" s="17"/>
      <c r="F116" s="16"/>
      <c r="G116" s="9" t="str">
        <f aca="false">IFERROR(E116/F116,"-")</f>
        <v>-</v>
      </c>
      <c r="H116" s="24" t="str">
        <f aca="false">IF(D116="","",INDEX(Lista_Meses,MONTH(D116)))</f>
        <v/>
      </c>
      <c r="I116" s="16"/>
    </row>
    <row r="117" customFormat="false" ht="15" hidden="false" customHeight="false" outlineLevel="0" collapsed="false">
      <c r="A117" s="16"/>
      <c r="B117" s="16"/>
      <c r="C117" s="16"/>
      <c r="D117" s="15"/>
      <c r="E117" s="17"/>
      <c r="F117" s="16"/>
      <c r="G117" s="9" t="str">
        <f aca="false">IFERROR(E117/F117,"-")</f>
        <v>-</v>
      </c>
      <c r="H117" s="24" t="str">
        <f aca="false">IF(D117="","",INDEX(Lista_Meses,MONTH(D117)))</f>
        <v/>
      </c>
      <c r="I117" s="16"/>
    </row>
    <row r="118" customFormat="false" ht="15" hidden="false" customHeight="false" outlineLevel="0" collapsed="false">
      <c r="A118" s="16"/>
      <c r="B118" s="16"/>
      <c r="C118" s="16"/>
      <c r="D118" s="15"/>
      <c r="E118" s="17"/>
      <c r="F118" s="16"/>
      <c r="G118" s="9" t="str">
        <f aca="false">IFERROR(E118/F118,"-")</f>
        <v>-</v>
      </c>
      <c r="H118" s="24" t="str">
        <f aca="false">IF(D118="","",INDEX(Lista_Meses,MONTH(D118)))</f>
        <v/>
      </c>
      <c r="I118" s="16"/>
    </row>
    <row r="119" customFormat="false" ht="15" hidden="false" customHeight="false" outlineLevel="0" collapsed="false">
      <c r="A119" s="16"/>
      <c r="B119" s="16"/>
      <c r="C119" s="16"/>
      <c r="D119" s="15"/>
      <c r="E119" s="17"/>
      <c r="F119" s="16"/>
      <c r="G119" s="9" t="str">
        <f aca="false">IFERROR(E119/F119,"-")</f>
        <v>-</v>
      </c>
      <c r="H119" s="24" t="str">
        <f aca="false">IF(D119="","",INDEX(Lista_Meses,MONTH(D119)))</f>
        <v/>
      </c>
      <c r="I119" s="16"/>
    </row>
    <row r="120" customFormat="false" ht="15" hidden="false" customHeight="false" outlineLevel="0" collapsed="false">
      <c r="A120" s="16"/>
      <c r="B120" s="16"/>
      <c r="C120" s="16"/>
      <c r="D120" s="15"/>
      <c r="E120" s="17"/>
      <c r="F120" s="16"/>
      <c r="G120" s="9" t="str">
        <f aca="false">IFERROR(E120/F120,"-")</f>
        <v>-</v>
      </c>
      <c r="H120" s="24" t="str">
        <f aca="false">IF(D120="","",INDEX(Lista_Meses,MONTH(D120)))</f>
        <v/>
      </c>
      <c r="I120" s="16"/>
    </row>
    <row r="121" customFormat="false" ht="15" hidden="false" customHeight="false" outlineLevel="0" collapsed="false">
      <c r="A121" s="16"/>
      <c r="B121" s="16"/>
      <c r="C121" s="16"/>
      <c r="D121" s="15"/>
      <c r="E121" s="17"/>
      <c r="F121" s="16"/>
      <c r="G121" s="9" t="str">
        <f aca="false">IFERROR(E121/F121,"-")</f>
        <v>-</v>
      </c>
      <c r="H121" s="24" t="str">
        <f aca="false">IF(D121="","",INDEX(Lista_Meses,MONTH(D121)))</f>
        <v/>
      </c>
      <c r="I121" s="16"/>
    </row>
    <row r="122" customFormat="false" ht="15" hidden="false" customHeight="false" outlineLevel="0" collapsed="false">
      <c r="A122" s="16"/>
      <c r="B122" s="16"/>
      <c r="C122" s="16"/>
      <c r="D122" s="15"/>
      <c r="E122" s="17"/>
      <c r="F122" s="16"/>
      <c r="G122" s="9" t="str">
        <f aca="false">IFERROR(E122/F122,"-")</f>
        <v>-</v>
      </c>
      <c r="H122" s="24" t="str">
        <f aca="false">IF(D122="","",INDEX(Lista_Meses,MONTH(D122)))</f>
        <v/>
      </c>
      <c r="I122" s="16"/>
    </row>
    <row r="123" customFormat="false" ht="15" hidden="false" customHeight="false" outlineLevel="0" collapsed="false">
      <c r="A123" s="16"/>
      <c r="B123" s="16"/>
      <c r="C123" s="16"/>
      <c r="D123" s="15"/>
      <c r="E123" s="17"/>
      <c r="F123" s="16"/>
      <c r="G123" s="9" t="str">
        <f aca="false">IFERROR(E123/F123,"-")</f>
        <v>-</v>
      </c>
      <c r="H123" s="24" t="str">
        <f aca="false">IF(D123="","",INDEX(Lista_Meses,MONTH(D123)))</f>
        <v/>
      </c>
      <c r="I123" s="16"/>
    </row>
    <row r="124" customFormat="false" ht="15" hidden="false" customHeight="false" outlineLevel="0" collapsed="false">
      <c r="A124" s="16"/>
      <c r="B124" s="16"/>
      <c r="C124" s="16"/>
      <c r="D124" s="15"/>
      <c r="E124" s="17"/>
      <c r="F124" s="16"/>
      <c r="G124" s="9" t="str">
        <f aca="false">IFERROR(E124/F124,"-")</f>
        <v>-</v>
      </c>
      <c r="H124" s="24" t="str">
        <f aca="false">IF(D124="","",INDEX(Lista_Meses,MONTH(D124)))</f>
        <v/>
      </c>
      <c r="I124" s="16"/>
    </row>
    <row r="125" customFormat="false" ht="15" hidden="false" customHeight="false" outlineLevel="0" collapsed="false">
      <c r="A125" s="16"/>
      <c r="B125" s="16"/>
      <c r="C125" s="16"/>
      <c r="D125" s="15"/>
      <c r="E125" s="17"/>
      <c r="F125" s="16"/>
      <c r="G125" s="9" t="str">
        <f aca="false">IFERROR(E125/F125,"-")</f>
        <v>-</v>
      </c>
      <c r="H125" s="24" t="str">
        <f aca="false">IF(D125="","",INDEX(Lista_Meses,MONTH(D125)))</f>
        <v/>
      </c>
      <c r="I125" s="16"/>
    </row>
    <row r="126" customFormat="false" ht="15" hidden="false" customHeight="false" outlineLevel="0" collapsed="false">
      <c r="A126" s="16"/>
      <c r="B126" s="16"/>
      <c r="C126" s="16"/>
      <c r="D126" s="15"/>
      <c r="E126" s="17"/>
      <c r="F126" s="16"/>
      <c r="G126" s="9" t="str">
        <f aca="false">IFERROR(E126/F126,"-")</f>
        <v>-</v>
      </c>
      <c r="H126" s="24" t="str">
        <f aca="false">IF(D126="","",INDEX(Lista_Meses,MONTH(D126)))</f>
        <v/>
      </c>
      <c r="I126" s="16"/>
    </row>
    <row r="127" customFormat="false" ht="15" hidden="false" customHeight="false" outlineLevel="0" collapsed="false">
      <c r="A127" s="16"/>
      <c r="B127" s="16"/>
      <c r="C127" s="16"/>
      <c r="D127" s="15"/>
      <c r="E127" s="17"/>
      <c r="F127" s="16"/>
      <c r="G127" s="9" t="str">
        <f aca="false">IFERROR(E127/F127,"-")</f>
        <v>-</v>
      </c>
      <c r="H127" s="24" t="str">
        <f aca="false">IF(D127="","",INDEX(Lista_Meses,MONTH(D127)))</f>
        <v/>
      </c>
      <c r="I127" s="16"/>
    </row>
    <row r="128" customFormat="false" ht="15" hidden="false" customHeight="false" outlineLevel="0" collapsed="false">
      <c r="A128" s="16"/>
      <c r="B128" s="16"/>
      <c r="C128" s="16"/>
      <c r="D128" s="15"/>
      <c r="E128" s="17"/>
      <c r="F128" s="16"/>
      <c r="G128" s="9" t="str">
        <f aca="false">IFERROR(E128/F128,"-")</f>
        <v>-</v>
      </c>
      <c r="H128" s="24" t="str">
        <f aca="false">IF(D128="","",INDEX(Lista_Meses,MONTH(D128)))</f>
        <v/>
      </c>
      <c r="I128" s="16"/>
    </row>
    <row r="129" customFormat="false" ht="15" hidden="false" customHeight="false" outlineLevel="0" collapsed="false">
      <c r="A129" s="16"/>
      <c r="B129" s="16"/>
      <c r="C129" s="16"/>
      <c r="D129" s="15"/>
      <c r="E129" s="17"/>
      <c r="F129" s="16"/>
      <c r="G129" s="9" t="str">
        <f aca="false">IFERROR(E129/F129,"-")</f>
        <v>-</v>
      </c>
      <c r="H129" s="24" t="str">
        <f aca="false">IF(D129="","",INDEX(Lista_Meses,MONTH(D129)))</f>
        <v/>
      </c>
      <c r="I129" s="16"/>
    </row>
    <row r="130" customFormat="false" ht="15" hidden="false" customHeight="false" outlineLevel="0" collapsed="false">
      <c r="A130" s="16"/>
      <c r="B130" s="16"/>
      <c r="C130" s="16"/>
      <c r="D130" s="15"/>
      <c r="E130" s="17"/>
      <c r="F130" s="16"/>
      <c r="G130" s="9" t="str">
        <f aca="false">IFERROR(E130/F130,"-")</f>
        <v>-</v>
      </c>
      <c r="H130" s="24" t="str">
        <f aca="false">IF(D130="","",INDEX(Lista_Meses,MONTH(D130)))</f>
        <v/>
      </c>
      <c r="I130" s="16"/>
    </row>
    <row r="131" customFormat="false" ht="15" hidden="false" customHeight="false" outlineLevel="0" collapsed="false">
      <c r="A131" s="16"/>
      <c r="B131" s="16"/>
      <c r="C131" s="16"/>
      <c r="D131" s="15"/>
      <c r="E131" s="17"/>
      <c r="F131" s="16"/>
      <c r="G131" s="9" t="str">
        <f aca="false">IFERROR(E131/F131,"-")</f>
        <v>-</v>
      </c>
      <c r="H131" s="24" t="str">
        <f aca="false">IF(D131="","",INDEX(Lista_Meses,MONTH(D131)))</f>
        <v/>
      </c>
      <c r="I131" s="16"/>
    </row>
    <row r="132" customFormat="false" ht="15" hidden="false" customHeight="false" outlineLevel="0" collapsed="false">
      <c r="A132" s="16"/>
      <c r="B132" s="16"/>
      <c r="C132" s="16"/>
      <c r="D132" s="15"/>
      <c r="E132" s="17"/>
      <c r="F132" s="16"/>
      <c r="G132" s="9" t="str">
        <f aca="false">IFERROR(E132/F132,"-")</f>
        <v>-</v>
      </c>
      <c r="H132" s="24" t="str">
        <f aca="false">IF(D132="","",INDEX(Lista_Meses,MONTH(D132)))</f>
        <v/>
      </c>
      <c r="I132" s="16"/>
    </row>
    <row r="133" customFormat="false" ht="15" hidden="false" customHeight="false" outlineLevel="0" collapsed="false">
      <c r="A133" s="16"/>
      <c r="B133" s="16"/>
      <c r="C133" s="16"/>
      <c r="D133" s="15"/>
      <c r="E133" s="17"/>
      <c r="F133" s="16"/>
      <c r="G133" s="9" t="str">
        <f aca="false">IFERROR(E133/F133,"-")</f>
        <v>-</v>
      </c>
      <c r="H133" s="24" t="str">
        <f aca="false">IF(D133="","",INDEX(Lista_Meses,MONTH(D133)))</f>
        <v/>
      </c>
      <c r="I133" s="16"/>
    </row>
    <row r="134" customFormat="false" ht="15" hidden="false" customHeight="false" outlineLevel="0" collapsed="false">
      <c r="A134" s="16"/>
      <c r="B134" s="16"/>
      <c r="C134" s="16"/>
      <c r="D134" s="15"/>
      <c r="E134" s="17"/>
      <c r="F134" s="16"/>
      <c r="G134" s="9" t="str">
        <f aca="false">IFERROR(E134/F134,"-")</f>
        <v>-</v>
      </c>
      <c r="H134" s="24" t="str">
        <f aca="false">IF(D134="","",INDEX(Lista_Meses,MONTH(D134)))</f>
        <v/>
      </c>
      <c r="I134" s="16"/>
    </row>
    <row r="135" customFormat="false" ht="15" hidden="false" customHeight="false" outlineLevel="0" collapsed="false">
      <c r="A135" s="16"/>
      <c r="B135" s="16"/>
      <c r="C135" s="16"/>
      <c r="D135" s="15"/>
      <c r="E135" s="17"/>
      <c r="F135" s="16"/>
      <c r="G135" s="9" t="str">
        <f aca="false">IFERROR(E135/F135,"-")</f>
        <v>-</v>
      </c>
      <c r="H135" s="24" t="str">
        <f aca="false">IF(D135="","",INDEX(Lista_Meses,MONTH(D135)))</f>
        <v/>
      </c>
      <c r="I135" s="16"/>
    </row>
    <row r="136" customFormat="false" ht="15" hidden="false" customHeight="false" outlineLevel="0" collapsed="false">
      <c r="A136" s="16"/>
      <c r="B136" s="16"/>
      <c r="C136" s="16"/>
      <c r="D136" s="15"/>
      <c r="E136" s="17"/>
      <c r="F136" s="16"/>
      <c r="G136" s="9" t="str">
        <f aca="false">IFERROR(E136/F136,"-")</f>
        <v>-</v>
      </c>
      <c r="H136" s="24" t="str">
        <f aca="false">IF(D136="","",INDEX(Lista_Meses,MONTH(D136)))</f>
        <v/>
      </c>
      <c r="I136" s="16"/>
    </row>
    <row r="137" customFormat="false" ht="15" hidden="false" customHeight="false" outlineLevel="0" collapsed="false">
      <c r="A137" s="16"/>
      <c r="B137" s="16"/>
      <c r="C137" s="16"/>
      <c r="D137" s="15"/>
      <c r="E137" s="17"/>
      <c r="F137" s="16"/>
      <c r="G137" s="9" t="str">
        <f aca="false">IFERROR(E137/F137,"-")</f>
        <v>-</v>
      </c>
      <c r="H137" s="24" t="str">
        <f aca="false">IF(D137="","",INDEX(Lista_Meses,MONTH(D137)))</f>
        <v/>
      </c>
      <c r="I137" s="16"/>
    </row>
    <row r="138" customFormat="false" ht="15" hidden="false" customHeight="false" outlineLevel="0" collapsed="false">
      <c r="A138" s="16"/>
      <c r="B138" s="16"/>
      <c r="C138" s="16"/>
      <c r="D138" s="15"/>
      <c r="E138" s="17"/>
      <c r="F138" s="16"/>
      <c r="G138" s="9" t="str">
        <f aca="false">IFERROR(E138/F138,"-")</f>
        <v>-</v>
      </c>
      <c r="H138" s="24" t="str">
        <f aca="false">IF(D138="","",INDEX(Lista_Meses,MONTH(D138)))</f>
        <v/>
      </c>
      <c r="I138" s="16"/>
    </row>
    <row r="139" customFormat="false" ht="15" hidden="false" customHeight="false" outlineLevel="0" collapsed="false">
      <c r="A139" s="16"/>
      <c r="B139" s="16"/>
      <c r="C139" s="16"/>
      <c r="D139" s="15"/>
      <c r="E139" s="17"/>
      <c r="F139" s="16"/>
      <c r="G139" s="9" t="str">
        <f aca="false">IFERROR(E139/F139,"-")</f>
        <v>-</v>
      </c>
      <c r="H139" s="24" t="str">
        <f aca="false">IF(D139="","",INDEX(Lista_Meses,MONTH(D139)))</f>
        <v/>
      </c>
      <c r="I139" s="16"/>
    </row>
    <row r="140" customFormat="false" ht="15" hidden="false" customHeight="false" outlineLevel="0" collapsed="false">
      <c r="A140" s="16"/>
      <c r="B140" s="16"/>
      <c r="C140" s="16"/>
      <c r="D140" s="15"/>
      <c r="E140" s="17"/>
      <c r="F140" s="16"/>
      <c r="G140" s="9" t="str">
        <f aca="false">IFERROR(E140/F140,"-")</f>
        <v>-</v>
      </c>
      <c r="H140" s="24" t="str">
        <f aca="false">IF(D140="","",INDEX(Lista_Meses,MONTH(D140)))</f>
        <v/>
      </c>
      <c r="I140" s="16"/>
    </row>
    <row r="141" customFormat="false" ht="15" hidden="false" customHeight="false" outlineLevel="0" collapsed="false">
      <c r="A141" s="16"/>
      <c r="B141" s="16"/>
      <c r="C141" s="16"/>
      <c r="D141" s="15"/>
      <c r="E141" s="17"/>
      <c r="F141" s="16"/>
      <c r="G141" s="9" t="str">
        <f aca="false">IFERROR(E141/F141,"-")</f>
        <v>-</v>
      </c>
      <c r="H141" s="24" t="str">
        <f aca="false">IF(D141="","",INDEX(Lista_Meses,MONTH(D141)))</f>
        <v/>
      </c>
      <c r="I141" s="16"/>
    </row>
    <row r="142" customFormat="false" ht="15" hidden="false" customHeight="false" outlineLevel="0" collapsed="false">
      <c r="A142" s="16"/>
      <c r="B142" s="16"/>
      <c r="C142" s="16"/>
      <c r="D142" s="15"/>
      <c r="E142" s="17"/>
      <c r="F142" s="16"/>
      <c r="G142" s="9" t="str">
        <f aca="false">IFERROR(E142/F142,"-")</f>
        <v>-</v>
      </c>
      <c r="H142" s="24" t="str">
        <f aca="false">IF(D142="","",INDEX(Lista_Meses,MONTH(D142)))</f>
        <v/>
      </c>
      <c r="I142" s="16"/>
    </row>
    <row r="143" customFormat="false" ht="15" hidden="false" customHeight="false" outlineLevel="0" collapsed="false">
      <c r="A143" s="16"/>
      <c r="B143" s="16"/>
      <c r="C143" s="16"/>
      <c r="D143" s="15"/>
      <c r="E143" s="17"/>
      <c r="F143" s="16"/>
      <c r="G143" s="9" t="str">
        <f aca="false">IFERROR(E143/F143,"-")</f>
        <v>-</v>
      </c>
      <c r="H143" s="24" t="str">
        <f aca="false">IF(D143="","",INDEX(Lista_Meses,MONTH(D143)))</f>
        <v/>
      </c>
      <c r="I143" s="16"/>
    </row>
    <row r="144" customFormat="false" ht="15" hidden="false" customHeight="false" outlineLevel="0" collapsed="false">
      <c r="A144" s="16"/>
      <c r="B144" s="16"/>
      <c r="C144" s="16"/>
      <c r="D144" s="15"/>
      <c r="E144" s="17"/>
      <c r="F144" s="16"/>
      <c r="G144" s="9" t="str">
        <f aca="false">IFERROR(E144/F144,"-")</f>
        <v>-</v>
      </c>
      <c r="H144" s="24" t="str">
        <f aca="false">IF(D144="","",INDEX(Lista_Meses,MONTH(D144)))</f>
        <v/>
      </c>
      <c r="I144" s="16"/>
    </row>
    <row r="145" customFormat="false" ht="15" hidden="false" customHeight="false" outlineLevel="0" collapsed="false">
      <c r="A145" s="16"/>
      <c r="B145" s="16"/>
      <c r="C145" s="16"/>
      <c r="D145" s="15"/>
      <c r="E145" s="17"/>
      <c r="F145" s="16"/>
      <c r="G145" s="9" t="str">
        <f aca="false">IFERROR(E145/F145,"-")</f>
        <v>-</v>
      </c>
      <c r="H145" s="24" t="str">
        <f aca="false">IF(D145="","",INDEX(Lista_Meses,MONTH(D145)))</f>
        <v/>
      </c>
      <c r="I145" s="16"/>
    </row>
    <row r="146" customFormat="false" ht="15" hidden="false" customHeight="false" outlineLevel="0" collapsed="false">
      <c r="A146" s="16"/>
      <c r="B146" s="16"/>
      <c r="C146" s="16"/>
      <c r="D146" s="15"/>
      <c r="E146" s="17"/>
      <c r="F146" s="16"/>
      <c r="G146" s="9" t="str">
        <f aca="false">IFERROR(E146/F146,"-")</f>
        <v>-</v>
      </c>
      <c r="H146" s="24" t="str">
        <f aca="false">IF(D146="","",INDEX(Lista_Meses,MONTH(D146)))</f>
        <v/>
      </c>
      <c r="I146" s="16"/>
    </row>
    <row r="147" customFormat="false" ht="15" hidden="false" customHeight="false" outlineLevel="0" collapsed="false">
      <c r="A147" s="16"/>
      <c r="B147" s="16"/>
      <c r="C147" s="16"/>
      <c r="D147" s="15"/>
      <c r="E147" s="17"/>
      <c r="F147" s="16"/>
      <c r="G147" s="9" t="str">
        <f aca="false">IFERROR(E147/F147,"-")</f>
        <v>-</v>
      </c>
      <c r="H147" s="24" t="str">
        <f aca="false">IF(D147="","",INDEX(Lista_Meses,MONTH(D147)))</f>
        <v/>
      </c>
      <c r="I147" s="16"/>
    </row>
    <row r="148" customFormat="false" ht="15" hidden="false" customHeight="false" outlineLevel="0" collapsed="false">
      <c r="A148" s="16"/>
      <c r="B148" s="16"/>
      <c r="C148" s="16"/>
      <c r="D148" s="15"/>
      <c r="E148" s="17"/>
      <c r="F148" s="16"/>
      <c r="G148" s="9" t="str">
        <f aca="false">IFERROR(E148/F148,"-")</f>
        <v>-</v>
      </c>
      <c r="H148" s="24" t="str">
        <f aca="false">IF(D148="","",INDEX(Lista_Meses,MONTH(D148)))</f>
        <v/>
      </c>
      <c r="I148" s="16"/>
    </row>
    <row r="149" customFormat="false" ht="15" hidden="false" customHeight="false" outlineLevel="0" collapsed="false">
      <c r="A149" s="16"/>
      <c r="B149" s="16"/>
      <c r="C149" s="16"/>
      <c r="D149" s="15"/>
      <c r="E149" s="17"/>
      <c r="F149" s="16"/>
      <c r="G149" s="9" t="str">
        <f aca="false">IFERROR(E149/F149,"-")</f>
        <v>-</v>
      </c>
      <c r="H149" s="24" t="str">
        <f aca="false">IF(D149="","",INDEX(Lista_Meses,MONTH(D149)))</f>
        <v/>
      </c>
      <c r="I149" s="16"/>
    </row>
    <row r="150" customFormat="false" ht="15" hidden="false" customHeight="false" outlineLevel="0" collapsed="false">
      <c r="A150" s="16"/>
      <c r="B150" s="16"/>
      <c r="C150" s="16"/>
      <c r="D150" s="15"/>
      <c r="E150" s="17"/>
      <c r="F150" s="16"/>
      <c r="G150" s="9" t="str">
        <f aca="false">IFERROR(E150/F150,"-")</f>
        <v>-</v>
      </c>
      <c r="H150" s="24" t="str">
        <f aca="false">IF(D150="","",INDEX(Lista_Meses,MONTH(D150)))</f>
        <v/>
      </c>
      <c r="I150" s="16"/>
    </row>
    <row r="151" customFormat="false" ht="15" hidden="false" customHeight="false" outlineLevel="0" collapsed="false">
      <c r="A151" s="16"/>
      <c r="B151" s="16"/>
      <c r="C151" s="16"/>
      <c r="D151" s="15"/>
      <c r="E151" s="17"/>
      <c r="F151" s="16"/>
      <c r="G151" s="9" t="str">
        <f aca="false">IFERROR(E151/F151,"-")</f>
        <v>-</v>
      </c>
      <c r="H151" s="24" t="str">
        <f aca="false">IF(D151="","",INDEX(Lista_Meses,MONTH(D151)))</f>
        <v/>
      </c>
      <c r="I151" s="16"/>
    </row>
    <row r="152" customFormat="false" ht="15" hidden="false" customHeight="false" outlineLevel="0" collapsed="false">
      <c r="A152" s="16"/>
      <c r="B152" s="16"/>
      <c r="C152" s="16"/>
      <c r="D152" s="15"/>
      <c r="E152" s="17"/>
      <c r="F152" s="16"/>
      <c r="G152" s="9" t="str">
        <f aca="false">IFERROR(E152/F152,"-")</f>
        <v>-</v>
      </c>
      <c r="H152" s="24" t="str">
        <f aca="false">IF(D152="","",INDEX(Lista_Meses,MONTH(D152)))</f>
        <v/>
      </c>
      <c r="I152" s="16"/>
    </row>
    <row r="153" customFormat="false" ht="15" hidden="false" customHeight="false" outlineLevel="0" collapsed="false">
      <c r="A153" s="16"/>
      <c r="B153" s="16"/>
      <c r="C153" s="16"/>
      <c r="D153" s="15"/>
      <c r="E153" s="17"/>
      <c r="F153" s="16"/>
      <c r="G153" s="9" t="str">
        <f aca="false">IFERROR(E153/F153,"-")</f>
        <v>-</v>
      </c>
      <c r="H153" s="24" t="str">
        <f aca="false">IF(D153="","",INDEX(Lista_Meses,MONTH(D153)))</f>
        <v/>
      </c>
      <c r="I153" s="16"/>
    </row>
    <row r="154" customFormat="false" ht="15" hidden="false" customHeight="false" outlineLevel="0" collapsed="false">
      <c r="A154" s="16"/>
      <c r="B154" s="16"/>
      <c r="C154" s="16"/>
      <c r="D154" s="15"/>
      <c r="E154" s="17"/>
      <c r="F154" s="16"/>
      <c r="G154" s="9" t="str">
        <f aca="false">IFERROR(E154/F154,"-")</f>
        <v>-</v>
      </c>
      <c r="H154" s="24" t="str">
        <f aca="false">IF(D154="","",INDEX(Lista_Meses,MONTH(D154)))</f>
        <v/>
      </c>
      <c r="I154" s="16"/>
    </row>
    <row r="155" customFormat="false" ht="15" hidden="false" customHeight="false" outlineLevel="0" collapsed="false">
      <c r="A155" s="10" t="s">
        <v>26</v>
      </c>
      <c r="E155" s="11" t="n">
        <f aca="false">SUM(E5:E154)</f>
        <v>1200</v>
      </c>
    </row>
  </sheetData>
  <mergeCells count="2">
    <mergeCell ref="A1:I1"/>
    <mergeCell ref="A2:I2"/>
  </mergeCells>
  <dataValidations count="2">
    <dataValidation allowBlank="true" errorStyle="stop" operator="between" showDropDown="false" showErrorMessage="false" showInputMessage="false" sqref="C5:C154" type="list">
      <formula1>Lista_TodasCategorias</formula1>
      <formula2>0</formula2>
    </dataValidation>
    <dataValidation allowBlank="true" errorStyle="stop" operator="between" showDropDown="false" showErrorMessage="false" showInputMessage="false" sqref="I5:I154" type="list">
      <formula1>Lista_Status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2" t="s">
        <v>103</v>
      </c>
      <c r="B1" s="2" t="s">
        <v>104</v>
      </c>
      <c r="C1" s="2" t="s">
        <v>105</v>
      </c>
      <c r="D1" s="2" t="s">
        <v>39</v>
      </c>
      <c r="E1" s="2" t="s">
        <v>106</v>
      </c>
      <c r="F1" s="2" t="s">
        <v>41</v>
      </c>
      <c r="G1" s="27" t="s">
        <v>107</v>
      </c>
    </row>
    <row r="2" customFormat="false" ht="15" hidden="false" customHeight="false" outlineLevel="0" collapsed="false">
      <c r="A2" s="0" t="s">
        <v>2</v>
      </c>
      <c r="B2" s="0" t="s">
        <v>12</v>
      </c>
      <c r="C2" s="0" t="s">
        <v>11</v>
      </c>
      <c r="D2" s="0" t="s">
        <v>46</v>
      </c>
      <c r="E2" s="0" t="s">
        <v>108</v>
      </c>
      <c r="F2" s="0" t="s">
        <v>48</v>
      </c>
      <c r="G2" s="0" t="s">
        <v>12</v>
      </c>
    </row>
    <row r="3" customFormat="false" ht="15" hidden="false" customHeight="false" outlineLevel="0" collapsed="false">
      <c r="A3" s="0" t="s">
        <v>66</v>
      </c>
      <c r="B3" s="0" t="s">
        <v>14</v>
      </c>
      <c r="C3" s="0" t="s">
        <v>13</v>
      </c>
      <c r="D3" s="0" t="s">
        <v>51</v>
      </c>
      <c r="E3" s="0" t="s">
        <v>52</v>
      </c>
      <c r="F3" s="0" t="s">
        <v>102</v>
      </c>
      <c r="G3" s="0" t="s">
        <v>14</v>
      </c>
    </row>
    <row r="4" customFormat="false" ht="15" hidden="false" customHeight="false" outlineLevel="0" collapsed="false">
      <c r="A4" s="0" t="s">
        <v>67</v>
      </c>
      <c r="B4" s="0" t="s">
        <v>16</v>
      </c>
      <c r="C4" s="0" t="s">
        <v>15</v>
      </c>
      <c r="E4" s="0" t="s">
        <v>109</v>
      </c>
      <c r="F4" s="0" t="s">
        <v>110</v>
      </c>
      <c r="G4" s="0" t="s">
        <v>16</v>
      </c>
    </row>
    <row r="5" customFormat="false" ht="15" hidden="false" customHeight="false" outlineLevel="0" collapsed="false">
      <c r="A5" s="0" t="s">
        <v>68</v>
      </c>
      <c r="B5" s="0" t="s">
        <v>18</v>
      </c>
      <c r="C5" s="0" t="s">
        <v>17</v>
      </c>
      <c r="E5" s="0" t="s">
        <v>56</v>
      </c>
      <c r="G5" s="0" t="s">
        <v>18</v>
      </c>
    </row>
    <row r="6" customFormat="false" ht="15" hidden="false" customHeight="false" outlineLevel="0" collapsed="false">
      <c r="A6" s="0" t="s">
        <v>69</v>
      </c>
      <c r="B6" s="0" t="s">
        <v>20</v>
      </c>
      <c r="C6" s="0" t="s">
        <v>19</v>
      </c>
      <c r="E6" s="0" t="s">
        <v>47</v>
      </c>
      <c r="G6" s="0" t="s">
        <v>20</v>
      </c>
    </row>
    <row r="7" customFormat="false" ht="15" hidden="false" customHeight="false" outlineLevel="0" collapsed="false">
      <c r="A7" s="0" t="s">
        <v>70</v>
      </c>
      <c r="B7" s="0" t="s">
        <v>22</v>
      </c>
      <c r="C7" s="0" t="s">
        <v>21</v>
      </c>
      <c r="E7" s="0" t="s">
        <v>54</v>
      </c>
      <c r="G7" s="0" t="s">
        <v>22</v>
      </c>
    </row>
    <row r="8" customFormat="false" ht="15" hidden="false" customHeight="false" outlineLevel="0" collapsed="false">
      <c r="A8" s="0" t="s">
        <v>71</v>
      </c>
      <c r="B8" s="0" t="s">
        <v>24</v>
      </c>
      <c r="C8" s="0" t="s">
        <v>23</v>
      </c>
      <c r="G8" s="0" t="s">
        <v>24</v>
      </c>
    </row>
    <row r="9" customFormat="false" ht="15" hidden="false" customHeight="false" outlineLevel="0" collapsed="false">
      <c r="A9" s="0" t="s">
        <v>72</v>
      </c>
      <c r="C9" s="0" t="s">
        <v>25</v>
      </c>
      <c r="G9" s="0" t="s">
        <v>11</v>
      </c>
    </row>
    <row r="10" customFormat="false" ht="15" hidden="false" customHeight="false" outlineLevel="0" collapsed="false">
      <c r="A10" s="0" t="s">
        <v>73</v>
      </c>
      <c r="C10" s="0" t="s">
        <v>27</v>
      </c>
      <c r="G10" s="0" t="s">
        <v>13</v>
      </c>
    </row>
    <row r="11" customFormat="false" ht="15" hidden="false" customHeight="false" outlineLevel="0" collapsed="false">
      <c r="A11" s="0" t="s">
        <v>74</v>
      </c>
      <c r="C11" s="0" t="s">
        <v>28</v>
      </c>
      <c r="G11" s="0" t="s">
        <v>15</v>
      </c>
    </row>
    <row r="12" customFormat="false" ht="15" hidden="false" customHeight="false" outlineLevel="0" collapsed="false">
      <c r="A12" s="0" t="s">
        <v>75</v>
      </c>
      <c r="C12" s="0" t="s">
        <v>29</v>
      </c>
      <c r="G12" s="0" t="s">
        <v>17</v>
      </c>
    </row>
    <row r="13" customFormat="false" ht="15" hidden="false" customHeight="false" outlineLevel="0" collapsed="false">
      <c r="A13" s="0" t="s">
        <v>76</v>
      </c>
      <c r="C13" s="0" t="s">
        <v>30</v>
      </c>
      <c r="G13" s="0" t="s">
        <v>19</v>
      </c>
    </row>
    <row r="14" customFormat="false" ht="15" hidden="false" customHeight="false" outlineLevel="0" collapsed="false">
      <c r="C14" s="0" t="s">
        <v>31</v>
      </c>
      <c r="G14" s="0" t="s">
        <v>21</v>
      </c>
    </row>
    <row r="15" customFormat="false" ht="15" hidden="false" customHeight="false" outlineLevel="0" collapsed="false">
      <c r="C15" s="0" t="s">
        <v>32</v>
      </c>
      <c r="G15" s="0" t="s">
        <v>23</v>
      </c>
    </row>
    <row r="16" customFormat="false" ht="15" hidden="false" customHeight="false" outlineLevel="0" collapsed="false">
      <c r="C16" s="0" t="s">
        <v>33</v>
      </c>
      <c r="G16" s="0" t="s">
        <v>25</v>
      </c>
    </row>
    <row r="17" customFormat="false" ht="15" hidden="false" customHeight="false" outlineLevel="0" collapsed="false">
      <c r="C17" s="0" t="s">
        <v>34</v>
      </c>
      <c r="G17" s="0" t="s">
        <v>27</v>
      </c>
    </row>
    <row r="18" customFormat="false" ht="15" hidden="false" customHeight="false" outlineLevel="0" collapsed="false">
      <c r="G18" s="0" t="s">
        <v>28</v>
      </c>
    </row>
    <row r="19" customFormat="false" ht="15" hidden="false" customHeight="false" outlineLevel="0" collapsed="false">
      <c r="G19" s="0" t="s">
        <v>29</v>
      </c>
    </row>
    <row r="20" customFormat="false" ht="15" hidden="false" customHeight="false" outlineLevel="0" collapsed="false">
      <c r="G20" s="0" t="s">
        <v>30</v>
      </c>
    </row>
    <row r="21" customFormat="false" ht="15" hidden="false" customHeight="false" outlineLevel="0" collapsed="false">
      <c r="G21" s="0" t="s">
        <v>31</v>
      </c>
    </row>
    <row r="22" customFormat="false" ht="15" hidden="false" customHeight="false" outlineLevel="0" collapsed="false">
      <c r="G22" s="0" t="s">
        <v>32</v>
      </c>
    </row>
    <row r="23" customFormat="false" ht="15" hidden="false" customHeight="false" outlineLevel="0" collapsed="false">
      <c r="G23" s="0" t="s">
        <v>33</v>
      </c>
    </row>
    <row r="24" customFormat="false" ht="15" hidden="false" customHeight="false" outlineLevel="0" collapsed="false">
      <c r="G24" s="0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2026-07-23T22:41:17Z</dcterms:created>
  <dc:creator>openpyxl</dc:creator>
  <dc:description/>
  <dc:language>en-US</dc:language>
  <cp:lastModifiedBy/>
  <dcterms:modified xsi:type="dcterms:W3CDTF">2026-07-23T22:41:17Z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